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frican Power Ventures and Energy Ltd\Sales Reports\2026\"/>
    </mc:Choice>
  </mc:AlternateContent>
  <xr:revisionPtr revIDLastSave="0" documentId="13_ncr:1_{B2532C5E-DF3A-458F-B30F-600383C9683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AN" sheetId="2" r:id="rId1"/>
    <sheet name="FEB" sheetId="1" r:id="rId2"/>
    <sheet name="M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3" l="1"/>
  <c r="J30" i="3"/>
  <c r="M30" i="3"/>
  <c r="N30" i="3"/>
  <c r="O30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4" i="3"/>
  <c r="AK25" i="3"/>
  <c r="AK26" i="3"/>
  <c r="AK27" i="3"/>
  <c r="AK28" i="3"/>
  <c r="AK29" i="3"/>
  <c r="AK4" i="3"/>
  <c r="AJ5" i="3"/>
  <c r="AK5" i="3" s="1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K23" i="3" s="1"/>
  <c r="AJ24" i="3"/>
  <c r="AJ25" i="3"/>
  <c r="AJ26" i="3"/>
  <c r="AJ27" i="3"/>
  <c r="AJ28" i="3"/>
  <c r="AJ29" i="3"/>
  <c r="AJ4" i="3"/>
  <c r="I30" i="3"/>
  <c r="H30" i="3"/>
  <c r="B17" i="1"/>
  <c r="D10" i="3"/>
  <c r="D9" i="3"/>
  <c r="D27" i="3"/>
  <c r="D29" i="3" s="1"/>
  <c r="D23" i="3"/>
  <c r="D22" i="3"/>
  <c r="D21" i="3"/>
  <c r="D20" i="3"/>
  <c r="D16" i="3"/>
  <c r="D15" i="3"/>
  <c r="D14" i="3"/>
  <c r="D8" i="3"/>
  <c r="D7" i="3"/>
  <c r="D6" i="3"/>
  <c r="D5" i="3"/>
  <c r="D4" i="3"/>
  <c r="X5" i="1"/>
  <c r="X6" i="1"/>
  <c r="X7" i="1"/>
  <c r="X12" i="1"/>
  <c r="X13" i="1"/>
  <c r="X14" i="1"/>
  <c r="X15" i="1"/>
  <c r="W5" i="1"/>
  <c r="W6" i="1"/>
  <c r="W7" i="1"/>
  <c r="W8" i="1"/>
  <c r="X8" i="1" s="1"/>
  <c r="W9" i="1"/>
  <c r="X9" i="1" s="1"/>
  <c r="W10" i="1"/>
  <c r="X10" i="1" s="1"/>
  <c r="W11" i="1"/>
  <c r="X11" i="1" s="1"/>
  <c r="W12" i="1"/>
  <c r="W13" i="1"/>
  <c r="W14" i="1"/>
  <c r="W15" i="1"/>
  <c r="W16" i="1"/>
  <c r="W17" i="1"/>
  <c r="W4" i="1"/>
  <c r="X4" i="1" s="1"/>
  <c r="AF20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3" i="2"/>
  <c r="D22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3" i="2"/>
  <c r="D20" i="2"/>
  <c r="B20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15" i="1"/>
  <c r="D14" i="1"/>
  <c r="D13" i="1"/>
  <c r="D12" i="1"/>
  <c r="D11" i="1"/>
  <c r="D10" i="1"/>
  <c r="D9" i="1"/>
  <c r="D8" i="1"/>
  <c r="D7" i="1"/>
  <c r="D6" i="1"/>
  <c r="D5" i="1"/>
  <c r="D4" i="1"/>
  <c r="D3" i="1"/>
  <c r="AJ30" i="3" l="1"/>
  <c r="AK30" i="3"/>
  <c r="G30" i="3"/>
  <c r="D25" i="3"/>
  <c r="D30" i="3" s="1"/>
  <c r="D18" i="3"/>
  <c r="D12" i="3"/>
  <c r="X17" i="1"/>
  <c r="D17" i="1"/>
  <c r="D19" i="1" s="1"/>
</calcChain>
</file>

<file path=xl/sharedStrings.xml><?xml version="1.0" encoding="utf-8"?>
<sst xmlns="http://schemas.openxmlformats.org/spreadsheetml/2006/main" count="119" uniqueCount="65">
  <si>
    <t>MODEL</t>
  </si>
  <si>
    <t>QTY</t>
  </si>
  <si>
    <t>RATE</t>
  </si>
  <si>
    <t>AMOUNT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</si>
  <si>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</si>
  <si>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</si>
  <si>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</si>
  <si>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</si>
  <si>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</si>
  <si>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</si>
  <si>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</si>
  <si>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</si>
  <si>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</si>
  <si>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</si>
  <si>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</si>
  <si>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</si>
  <si>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</si>
  <si>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24TH</t>
  </si>
  <si>
    <t>25TH</t>
  </si>
  <si>
    <t>26TH</t>
  </si>
  <si>
    <t>27TH</t>
  </si>
  <si>
    <t>28TH</t>
  </si>
  <si>
    <t>1.5KVA</t>
  </si>
  <si>
    <t>2KVA</t>
  </si>
  <si>
    <t>3.5KVA/24V</t>
  </si>
  <si>
    <t>3.5KVA/48V</t>
  </si>
  <si>
    <t>5KVA/48V</t>
  </si>
  <si>
    <t>3.6KW/24V</t>
  </si>
  <si>
    <t>5KW/24V</t>
  </si>
  <si>
    <t>5KW/48V</t>
  </si>
  <si>
    <t>5KWH/24V BATTERY</t>
  </si>
  <si>
    <t>5KWH/48V BATTERY</t>
  </si>
  <si>
    <t>10KWH/ 48V</t>
  </si>
  <si>
    <t>15KWH/48V</t>
  </si>
  <si>
    <t>TUBULAR BATTERIES</t>
  </si>
  <si>
    <t>TOTAL</t>
  </si>
  <si>
    <t>SALE PLAN FOR THE MONTH OF JAN (MERCY LAGOS OFFICE)</t>
  </si>
  <si>
    <t>2ND</t>
  </si>
  <si>
    <t>3RD</t>
  </si>
  <si>
    <t>4TH</t>
  </si>
  <si>
    <t>5TH</t>
  </si>
  <si>
    <t>6TH</t>
  </si>
  <si>
    <t>7TH</t>
  </si>
  <si>
    <t>9TH</t>
  </si>
  <si>
    <t>30TH</t>
  </si>
  <si>
    <t>31ST</t>
  </si>
  <si>
    <t>1KVA/12V</t>
  </si>
  <si>
    <t>1.5KVA/12V</t>
  </si>
  <si>
    <t>2KVA/24V</t>
  </si>
  <si>
    <t>2.5KVA/24V</t>
  </si>
  <si>
    <t>10KVA/48V</t>
  </si>
  <si>
    <t>7.5KVA/96V</t>
  </si>
  <si>
    <t>3.6KWH/24V</t>
  </si>
  <si>
    <t>5.6KWH/24V</t>
  </si>
  <si>
    <t>5KWH/48V</t>
  </si>
  <si>
    <t>SALE PLAN FOR THE MONTH OF FEBRUARY (MERCY LAGOS OFFICE)</t>
  </si>
  <si>
    <t>10KVA/120V</t>
  </si>
  <si>
    <t>SUBTOTAL</t>
  </si>
  <si>
    <t>GREEN</t>
  </si>
  <si>
    <t>RED</t>
  </si>
  <si>
    <t>Value</t>
  </si>
  <si>
    <t>TOTAL QTY</t>
  </si>
  <si>
    <t>SALE PLAN FOR THE MONTH OF MARCH (MERCY LAGOS OFFICE)</t>
  </si>
  <si>
    <t>Total</t>
  </si>
  <si>
    <t>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</si>
</sst>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rgb="FFFF0000"/>
      <name val="Times New Roman"/>
      <family val="1"/>
    </font>
    <font>
      <sz val="15"/>
      <color rgb="FFFF0000"/>
      <name val="Times New Roman"/>
      <family val="1"/>
    </font>
    <font>
      <b/>
      <sz val="15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3" fontId="4" fillId="3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5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4" fillId="4" borderId="1" xfId="0" applyFont="1" applyFill="1" applyBorder="1"/>
    <xf numFmtId="0" fontId="4" fillId="2" borderId="1" xfId="0" applyFont="1" applyFill="1" applyBorder="1"/>
    <xf numFmtId="0" fontId="4" fillId="3" borderId="2" xfId="0" applyFont="1" applyFill="1" applyBorder="1"/>
    <xf numFmtId="0" fontId="4" fillId="3" borderId="1" xfId="0" applyFont="1" applyFill="1" applyBorder="1"/>
    <xf numFmtId="164" fontId="4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/>
    <xf numFmtId="43" fontId="4" fillId="3" borderId="1" xfId="1" applyFont="1" applyFill="1" applyBorder="1"/>
    <xf numFmtId="0" fontId="4" fillId="0" borderId="0" xfId="0" applyFont="1"/>
    <xf numFmtId="0" fontId="5" fillId="5" borderId="1" xfId="0" applyFont="1" applyFill="1" applyBorder="1"/>
    <xf numFmtId="164" fontId="4" fillId="0" borderId="1" xfId="1" applyNumberFormat="1" applyFont="1" applyBorder="1" applyAlignment="1">
      <alignment horizontal="center"/>
    </xf>
    <xf numFmtId="164" fontId="4" fillId="0" borderId="1" xfId="0" applyNumberFormat="1" applyFont="1" applyBorder="1"/>
    <xf numFmtId="164" fontId="4" fillId="5" borderId="1" xfId="0" applyNumberFormat="1" applyFont="1" applyFill="1" applyBorder="1"/>
    <xf numFmtId="0" fontId="4" fillId="0" borderId="1" xfId="0" applyFont="1" applyBorder="1" applyAlignment="1">
      <alignment horizontal="left"/>
    </xf>
    <xf numFmtId="164" fontId="4" fillId="0" borderId="1" xfId="1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1" applyNumberFormat="1" applyFont="1" applyBorder="1" applyAlignment="1"/>
    <xf numFmtId="164" fontId="6" fillId="0" borderId="1" xfId="0" applyNumberFormat="1" applyFont="1" applyBorder="1"/>
    <xf numFmtId="0" fontId="6" fillId="3" borderId="1" xfId="0" applyFont="1" applyFill="1" applyBorder="1"/>
    <xf numFmtId="0" fontId="6" fillId="2" borderId="1" xfId="0" applyFont="1" applyFill="1" applyBorder="1"/>
    <xf numFmtId="164" fontId="6" fillId="5" borderId="1" xfId="0" applyNumberFormat="1" applyFont="1" applyFill="1" applyBorder="1"/>
    <xf numFmtId="2" fontId="6" fillId="5" borderId="1" xfId="0" applyNumberFormat="1" applyFont="1" applyFill="1" applyBorder="1"/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43" fontId="6" fillId="4" borderId="4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0" borderId="4" xfId="0" applyFont="1" applyBorder="1"/>
    <xf numFmtId="0" fontId="6" fillId="5" borderId="5" xfId="0" applyFont="1" applyFill="1" applyBorder="1" applyAlignment="1">
      <alignment horizontal="center"/>
    </xf>
    <xf numFmtId="0" fontId="6" fillId="0" borderId="6" xfId="0" applyFont="1" applyBorder="1"/>
    <xf numFmtId="0" fontId="6" fillId="5" borderId="7" xfId="0" applyFont="1" applyFill="1" applyBorder="1"/>
    <xf numFmtId="164" fontId="6" fillId="5" borderId="7" xfId="0" applyNumberFormat="1" applyFont="1" applyFill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5" fillId="0" borderId="6" xfId="0" applyFont="1" applyBorder="1"/>
    <xf numFmtId="164" fontId="5" fillId="0" borderId="1" xfId="1" applyNumberFormat="1" applyFont="1" applyBorder="1" applyAlignment="1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164" fontId="5" fillId="6" borderId="1" xfId="0" applyNumberFormat="1" applyFont="1" applyFill="1" applyBorder="1"/>
    <xf numFmtId="0" fontId="5" fillId="5" borderId="6" xfId="0" applyFont="1" applyFill="1" applyBorder="1"/>
    <xf numFmtId="0" fontId="5" fillId="5" borderId="1" xfId="0" applyFont="1" applyFill="1" applyBorder="1" applyAlignment="1">
      <alignment horizontal="center"/>
    </xf>
    <xf numFmtId="164" fontId="5" fillId="5" borderId="1" xfId="1" applyNumberFormat="1" applyFont="1" applyFill="1" applyBorder="1" applyAlignment="1"/>
    <xf numFmtId="0" fontId="5" fillId="5" borderId="8" xfId="0" applyFont="1" applyFill="1" applyBorder="1"/>
    <xf numFmtId="0" fontId="5" fillId="5" borderId="9" xfId="0" applyFont="1" applyFill="1" applyBorder="1"/>
    <xf numFmtId="164" fontId="5" fillId="5" borderId="9" xfId="0" applyNumberFormat="1" applyFont="1" applyFill="1" applyBorder="1"/>
    <xf numFmtId="0" fontId="5" fillId="0" borderId="9" xfId="0" applyFont="1" applyBorder="1"/>
    <xf numFmtId="2" fontId="3" fillId="6" borderId="0" xfId="0" applyNumberFormat="1" applyFont="1" applyFill="1"/>
    <xf numFmtId="0" fontId="4" fillId="7" borderId="4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1" xfId="0" applyFont="1" applyFill="1" applyBorder="1"/>
    <xf numFmtId="0" fontId="5" fillId="7" borderId="9" xfId="0" applyFont="1" applyFill="1" applyBorder="1"/>
    <xf numFmtId="164" fontId="5" fillId="7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/>
    <xf numFmtId="164" fontId="5" fillId="6" borderId="1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4" fontId="5" fillId="3" borderId="1" xfId="0" applyNumberFormat="1" applyFont="1" applyFill="1" applyBorder="1"/>
    <xf numFmtId="0" fontId="5" fillId="3" borderId="1" xfId="0" applyFont="1" applyFill="1" applyBorder="1"/>
    <xf numFmtId="43" fontId="3" fillId="0" borderId="0" xfId="1" applyFont="1"/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43" fontId="3" fillId="5" borderId="5" xfId="1" applyFont="1" applyFill="1" applyBorder="1"/>
    <xf numFmtId="43" fontId="3" fillId="5" borderId="7" xfId="1" applyFont="1" applyFill="1" applyBorder="1"/>
    <xf numFmtId="43" fontId="3" fillId="5" borderId="10" xfId="1" applyFont="1" applyFill="1" applyBorder="1"/>
    <xf numFmtId="0" fontId="3" fillId="8" borderId="4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64" fontId="3" fillId="8" borderId="9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/>
    <xf numFmtId="0" fontId="8" fillId="3" borderId="1" xfId="0" applyFont="1" applyFill="1" applyBorder="1"/>
    <xf numFmtId="0" fontId="9" fillId="3" borderId="4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5" fillId="4" borderId="1" xfId="0" applyNumberFormat="1" applyFont="1" applyFill="1" applyBorder="1"/>
    <xf numFmtId="0" fontId="5" fillId="4" borderId="1" xfId="0" applyFont="1" applyFill="1" applyBorder="1"/>
    <xf numFmtId="0" fontId="5" fillId="4" borderId="9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4"/>
  <sheetViews>
    <sheetView zoomScale="70" zoomScaleNormal="70" workbookViewId="0">
      <selection activeCell="H22" sqref="H22"/>
    </sheetView>
  </sheetViews>
  <sheetFormatPr defaultRowHeight="14.4" x14ac:dyDescent="0.3"/>
  <cols>
    <col min="1" max="1" width="18.109375" customWidth="1"/>
    <col min="2" max="2" width="6.77734375" bestFit="1" customWidth="1"/>
    <col min="3" max="3" width="17.21875" bestFit="1" customWidth="1"/>
    <col min="4" max="4" width="19" bestFit="1" customWidth="1"/>
    <col min="5" max="5" width="9.33203125" bestFit="1" customWidth="1"/>
    <col min="6" max="6" width="7.109375" bestFit="1" customWidth="1"/>
    <col min="7" max="7" width="6.77734375" bestFit="1" customWidth="1"/>
    <col min="8" max="9" width="6.77734375" style="1" bestFit="1" customWidth="1"/>
    <col min="10" max="11" width="6.77734375" bestFit="1" customWidth="1"/>
    <col min="12" max="17" width="8.5546875" bestFit="1" customWidth="1"/>
    <col min="18" max="18" width="6.21875" customWidth="1"/>
    <col min="19" max="21" width="8.5546875" bestFit="1" customWidth="1"/>
    <col min="22" max="22" width="8" bestFit="1" customWidth="1"/>
    <col min="23" max="23" width="9.109375" bestFit="1" customWidth="1"/>
    <col min="24" max="29" width="8.5546875" bestFit="1" customWidth="1"/>
    <col min="30" max="30" width="8" customWidth="1"/>
    <col min="31" max="31" width="17.88671875" bestFit="1" customWidth="1"/>
    <col min="32" max="32" width="25.5546875" customWidth="1"/>
  </cols>
  <sheetData>
    <row r="1" spans="1:32" ht="18.600000000000001" x14ac:dyDescent="0.3">
      <c r="A1" s="107" t="s">
        <v>36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 spans="1:32" ht="18.600000000000001" x14ac:dyDescent="0.3">
      <c r="A2" s="4" t="s">
        <v>0</v>
      </c>
      <c r="B2" s="5" t="s">
        <v>1</v>
      </c>
      <c r="C2" s="5" t="s">
        <v>2</v>
      </c>
      <c r="D2" s="4" t="s">
        <v>3</v>
      </c>
      <c r="E2" s="6" t="s">
        <v>37</v>
      </c>
      <c r="F2" s="7" t="s">
        <v>38</v>
      </c>
      <c r="G2" s="8" t="s">
        <v>39</v>
      </c>
      <c r="H2" s="9" t="s">
        <v>40</v>
      </c>
      <c r="I2" s="9" t="s">
        <v>41</v>
      </c>
      <c r="J2" s="7" t="s">
        <v>42</v>
      </c>
      <c r="K2" s="9" t="s">
        <v>43</v>
      </c>
      <c r="L2" s="7" t="s">
        <v>4</v>
      </c>
      <c r="M2" s="8" t="s">
        <v>5</v>
      </c>
      <c r="N2" s="7" t="s">
        <v>6</v>
      </c>
      <c r="O2" s="9" t="s">
        <v>7</v>
      </c>
      <c r="P2" s="7" t="s">
        <v>8</v>
      </c>
      <c r="Q2" s="7" t="s">
        <v>10</v>
      </c>
      <c r="R2" s="7" t="s">
        <v>11</v>
      </c>
      <c r="S2" s="8" t="s">
        <v>12</v>
      </c>
      <c r="T2" s="7" t="s">
        <v>13</v>
      </c>
      <c r="U2" s="9" t="s">
        <v>14</v>
      </c>
      <c r="V2" s="9" t="s">
        <v>15</v>
      </c>
      <c r="W2" s="9" t="s">
        <v>16</v>
      </c>
      <c r="X2" s="9" t="s">
        <v>17</v>
      </c>
      <c r="Y2" s="8" t="s">
        <v>18</v>
      </c>
      <c r="Z2" s="10" t="s">
        <v>19</v>
      </c>
      <c r="AA2" s="7" t="s">
        <v>20</v>
      </c>
      <c r="AB2" s="9" t="s">
        <v>21</v>
      </c>
      <c r="AC2" s="7" t="s">
        <v>44</v>
      </c>
      <c r="AD2" s="9" t="s">
        <v>45</v>
      </c>
      <c r="AE2" s="11" t="s">
        <v>61</v>
      </c>
      <c r="AF2" s="11" t="s">
        <v>60</v>
      </c>
    </row>
    <row r="3" spans="1:32" ht="18.600000000000001" x14ac:dyDescent="0.3">
      <c r="A3" s="4" t="s">
        <v>46</v>
      </c>
      <c r="B3" s="5">
        <v>20</v>
      </c>
      <c r="C3" s="24">
        <v>105000</v>
      </c>
      <c r="D3" s="25">
        <f>C3*B3</f>
        <v>2100000</v>
      </c>
      <c r="E3" s="6"/>
      <c r="F3" s="7"/>
      <c r="G3" s="8"/>
      <c r="H3" s="9"/>
      <c r="I3" s="9"/>
      <c r="J3" s="7"/>
      <c r="K3" s="9"/>
      <c r="L3" s="7"/>
      <c r="M3" s="8"/>
      <c r="N3" s="7"/>
      <c r="O3" s="9">
        <v>15</v>
      </c>
      <c r="P3" s="7"/>
      <c r="Q3" s="7"/>
      <c r="R3" s="7"/>
      <c r="S3" s="8"/>
      <c r="T3" s="7"/>
      <c r="U3" s="9"/>
      <c r="V3" s="9"/>
      <c r="W3" s="15"/>
      <c r="X3" s="15"/>
      <c r="Y3" s="16"/>
      <c r="Z3" s="17"/>
      <c r="AA3" s="18"/>
      <c r="AB3" s="15"/>
      <c r="AC3" s="18"/>
      <c r="AD3" s="15">
        <v>1</v>
      </c>
      <c r="AE3" s="19">
        <f>SUM(E3:AD3)</f>
        <v>16</v>
      </c>
      <c r="AF3" s="26">
        <f>AE3*C3</f>
        <v>1680000</v>
      </c>
    </row>
    <row r="4" spans="1:32" ht="18.600000000000001" x14ac:dyDescent="0.3">
      <c r="A4" s="27" t="s">
        <v>47</v>
      </c>
      <c r="B4" s="5">
        <v>23</v>
      </c>
      <c r="C4" s="28">
        <v>150000</v>
      </c>
      <c r="D4" s="29">
        <f>C4*B4</f>
        <v>3450000</v>
      </c>
      <c r="E4" s="18"/>
      <c r="F4" s="18"/>
      <c r="G4" s="16"/>
      <c r="H4" s="9"/>
      <c r="I4" s="9"/>
      <c r="J4" s="18"/>
      <c r="K4" s="15"/>
      <c r="L4" s="18"/>
      <c r="M4" s="16"/>
      <c r="N4" s="18"/>
      <c r="O4" s="15"/>
      <c r="P4" s="18"/>
      <c r="Q4" s="18"/>
      <c r="R4" s="18"/>
      <c r="S4" s="16"/>
      <c r="T4" s="18"/>
      <c r="U4" s="15"/>
      <c r="V4" s="15"/>
      <c r="W4" s="15"/>
      <c r="X4" s="15"/>
      <c r="Y4" s="16"/>
      <c r="Z4" s="17"/>
      <c r="AA4" s="18"/>
      <c r="AB4" s="15"/>
      <c r="AC4" s="18"/>
      <c r="AD4" s="15"/>
      <c r="AE4" s="19">
        <f t="shared" ref="AE4:AE20" si="0">SUM(E4:AD4)</f>
        <v>0</v>
      </c>
      <c r="AF4" s="26">
        <f t="shared" ref="AF4:AF18" si="1">AE4*C4</f>
        <v>0</v>
      </c>
    </row>
    <row r="5" spans="1:32" ht="18.600000000000001" x14ac:dyDescent="0.3">
      <c r="A5" s="27" t="s">
        <v>48</v>
      </c>
      <c r="B5" s="5">
        <v>40</v>
      </c>
      <c r="C5" s="28">
        <v>180000</v>
      </c>
      <c r="D5" s="29">
        <f t="shared" ref="D5:D18" si="2">C5*B5</f>
        <v>7200000</v>
      </c>
      <c r="E5" s="18"/>
      <c r="F5" s="18"/>
      <c r="G5" s="16"/>
      <c r="H5" s="9"/>
      <c r="I5" s="9">
        <v>5</v>
      </c>
      <c r="J5" s="18"/>
      <c r="K5" s="15"/>
      <c r="L5" s="18"/>
      <c r="M5" s="16"/>
      <c r="N5" s="18"/>
      <c r="O5" s="15"/>
      <c r="P5" s="18"/>
      <c r="Q5" s="18"/>
      <c r="R5" s="18"/>
      <c r="S5" s="16"/>
      <c r="T5" s="18"/>
      <c r="U5" s="15"/>
      <c r="V5" s="15"/>
      <c r="W5" s="15"/>
      <c r="X5" s="15"/>
      <c r="Y5" s="16"/>
      <c r="Z5" s="17"/>
      <c r="AA5" s="18"/>
      <c r="AB5" s="15">
        <v>1</v>
      </c>
      <c r="AC5" s="18"/>
      <c r="AD5" s="15"/>
      <c r="AE5" s="19">
        <f t="shared" si="0"/>
        <v>6</v>
      </c>
      <c r="AF5" s="26">
        <f t="shared" si="1"/>
        <v>1080000</v>
      </c>
    </row>
    <row r="6" spans="1:32" ht="18.600000000000001" x14ac:dyDescent="0.3">
      <c r="A6" s="27" t="s">
        <v>49</v>
      </c>
      <c r="B6" s="5">
        <v>20</v>
      </c>
      <c r="C6" s="28">
        <v>240000</v>
      </c>
      <c r="D6" s="29">
        <f>C6*B6</f>
        <v>4800000</v>
      </c>
      <c r="E6" s="18"/>
      <c r="F6" s="21"/>
      <c r="G6" s="16"/>
      <c r="H6" s="9">
        <v>10</v>
      </c>
      <c r="I6" s="9">
        <v>6</v>
      </c>
      <c r="J6" s="18"/>
      <c r="K6" s="15"/>
      <c r="L6" s="18"/>
      <c r="M6" s="16"/>
      <c r="N6" s="18"/>
      <c r="O6" s="15"/>
      <c r="P6" s="18"/>
      <c r="Q6" s="18"/>
      <c r="R6" s="18"/>
      <c r="S6" s="16"/>
      <c r="T6" s="18"/>
      <c r="U6" s="15"/>
      <c r="V6" s="15"/>
      <c r="W6" s="15"/>
      <c r="X6" s="15"/>
      <c r="Y6" s="16"/>
      <c r="Z6" s="17"/>
      <c r="AA6" s="18"/>
      <c r="AB6" s="15"/>
      <c r="AC6" s="18"/>
      <c r="AD6" s="15"/>
      <c r="AE6" s="19">
        <f t="shared" si="0"/>
        <v>16</v>
      </c>
      <c r="AF6" s="26">
        <f t="shared" si="1"/>
        <v>3840000</v>
      </c>
    </row>
    <row r="7" spans="1:32" ht="18.600000000000001" x14ac:dyDescent="0.3">
      <c r="A7" s="27" t="s">
        <v>24</v>
      </c>
      <c r="B7" s="5">
        <v>20</v>
      </c>
      <c r="C7" s="28">
        <v>310000</v>
      </c>
      <c r="D7" s="29">
        <f t="shared" si="2"/>
        <v>6200000</v>
      </c>
      <c r="E7" s="18"/>
      <c r="F7" s="18"/>
      <c r="G7" s="16"/>
      <c r="H7" s="9">
        <v>1</v>
      </c>
      <c r="I7" s="9">
        <v>3</v>
      </c>
      <c r="J7" s="18"/>
      <c r="K7" s="15"/>
      <c r="L7" s="18"/>
      <c r="M7" s="16"/>
      <c r="N7" s="18"/>
      <c r="O7" s="15"/>
      <c r="P7" s="18"/>
      <c r="Q7" s="18"/>
      <c r="R7" s="18"/>
      <c r="S7" s="16"/>
      <c r="T7" s="18"/>
      <c r="U7" s="15"/>
      <c r="V7" s="15"/>
      <c r="W7" s="15">
        <v>15</v>
      </c>
      <c r="X7" s="15"/>
      <c r="Y7" s="16"/>
      <c r="Z7" s="17"/>
      <c r="AA7" s="18"/>
      <c r="AB7" s="15"/>
      <c r="AC7" s="18"/>
      <c r="AD7" s="15"/>
      <c r="AE7" s="19">
        <f t="shared" si="0"/>
        <v>19</v>
      </c>
      <c r="AF7" s="26">
        <f t="shared" si="1"/>
        <v>5890000</v>
      </c>
    </row>
    <row r="8" spans="1:32" ht="18.600000000000001" x14ac:dyDescent="0.3">
      <c r="A8" s="27" t="s">
        <v>25</v>
      </c>
      <c r="B8" s="5">
        <v>4</v>
      </c>
      <c r="C8" s="28">
        <v>420000</v>
      </c>
      <c r="D8" s="29">
        <f t="shared" si="2"/>
        <v>1680000</v>
      </c>
      <c r="E8" s="18"/>
      <c r="F8" s="18"/>
      <c r="G8" s="16"/>
      <c r="H8" s="9"/>
      <c r="I8" s="9"/>
      <c r="J8" s="18"/>
      <c r="K8" s="15"/>
      <c r="L8" s="18"/>
      <c r="M8" s="16"/>
      <c r="N8" s="18"/>
      <c r="O8" s="15"/>
      <c r="P8" s="18"/>
      <c r="Q8" s="18"/>
      <c r="R8" s="18"/>
      <c r="S8" s="16"/>
      <c r="T8" s="18"/>
      <c r="U8" s="15"/>
      <c r="V8" s="15"/>
      <c r="W8" s="15"/>
      <c r="X8" s="15"/>
      <c r="Y8" s="16"/>
      <c r="Z8" s="17"/>
      <c r="AA8" s="18"/>
      <c r="AB8" s="15"/>
      <c r="AC8" s="18"/>
      <c r="AD8" s="15"/>
      <c r="AE8" s="19">
        <f t="shared" si="0"/>
        <v>0</v>
      </c>
      <c r="AF8" s="26">
        <f t="shared" si="1"/>
        <v>0</v>
      </c>
    </row>
    <row r="9" spans="1:32" ht="18.600000000000001" x14ac:dyDescent="0.3">
      <c r="A9" s="27" t="s">
        <v>50</v>
      </c>
      <c r="B9" s="5">
        <v>3</v>
      </c>
      <c r="C9" s="28">
        <v>1000000</v>
      </c>
      <c r="D9" s="29">
        <f t="shared" si="2"/>
        <v>3000000</v>
      </c>
      <c r="E9" s="18"/>
      <c r="F9" s="18"/>
      <c r="G9" s="16"/>
      <c r="H9" s="9"/>
      <c r="I9" s="9"/>
      <c r="J9" s="18"/>
      <c r="K9" s="15"/>
      <c r="L9" s="18"/>
      <c r="M9" s="16"/>
      <c r="N9" s="18"/>
      <c r="O9" s="15"/>
      <c r="P9" s="18"/>
      <c r="Q9" s="18"/>
      <c r="R9" s="18"/>
      <c r="S9" s="16"/>
      <c r="T9" s="18"/>
      <c r="U9" s="15"/>
      <c r="V9" s="15"/>
      <c r="W9" s="15"/>
      <c r="X9" s="15"/>
      <c r="Y9" s="16"/>
      <c r="Z9" s="17"/>
      <c r="AA9" s="18"/>
      <c r="AB9" s="15"/>
      <c r="AC9" s="18"/>
      <c r="AD9" s="15"/>
      <c r="AE9" s="19">
        <f t="shared" si="0"/>
        <v>0</v>
      </c>
      <c r="AF9" s="26">
        <f t="shared" si="1"/>
        <v>0</v>
      </c>
    </row>
    <row r="10" spans="1:32" ht="18.600000000000001" x14ac:dyDescent="0.3">
      <c r="A10" s="27" t="s">
        <v>26</v>
      </c>
      <c r="B10" s="5">
        <v>4</v>
      </c>
      <c r="C10" s="28">
        <v>720000</v>
      </c>
      <c r="D10" s="29">
        <f t="shared" si="2"/>
        <v>2880000</v>
      </c>
      <c r="E10" s="18"/>
      <c r="F10" s="18"/>
      <c r="G10" s="16"/>
      <c r="H10" s="9"/>
      <c r="I10" s="9"/>
      <c r="J10" s="18"/>
      <c r="K10" s="15"/>
      <c r="L10" s="18"/>
      <c r="M10" s="16"/>
      <c r="N10" s="18"/>
      <c r="O10" s="15"/>
      <c r="P10" s="18"/>
      <c r="Q10" s="18"/>
      <c r="R10" s="18"/>
      <c r="S10" s="16"/>
      <c r="T10" s="18"/>
      <c r="U10" s="15"/>
      <c r="V10" s="15"/>
      <c r="W10" s="15"/>
      <c r="X10" s="15"/>
      <c r="Y10" s="16"/>
      <c r="Z10" s="17"/>
      <c r="AA10" s="18"/>
      <c r="AB10" s="15">
        <v>1</v>
      </c>
      <c r="AC10" s="18"/>
      <c r="AD10" s="15"/>
      <c r="AE10" s="19">
        <f t="shared" si="0"/>
        <v>1</v>
      </c>
      <c r="AF10" s="26">
        <f t="shared" si="1"/>
        <v>720000</v>
      </c>
    </row>
    <row r="11" spans="1:32" ht="18.600000000000001" x14ac:dyDescent="0.3">
      <c r="A11" s="27" t="s">
        <v>51</v>
      </c>
      <c r="B11" s="5">
        <v>2</v>
      </c>
      <c r="C11" s="28">
        <v>1000000</v>
      </c>
      <c r="D11" s="29">
        <f t="shared" si="2"/>
        <v>2000000</v>
      </c>
      <c r="E11" s="18"/>
      <c r="F11" s="18"/>
      <c r="G11" s="16"/>
      <c r="H11" s="9"/>
      <c r="I11" s="9"/>
      <c r="J11" s="18"/>
      <c r="K11" s="15"/>
      <c r="L11" s="18"/>
      <c r="M11" s="16"/>
      <c r="N11" s="18"/>
      <c r="O11" s="15"/>
      <c r="P11" s="18"/>
      <c r="Q11" s="18"/>
      <c r="R11" s="18"/>
      <c r="S11" s="16"/>
      <c r="T11" s="18"/>
      <c r="U11" s="15"/>
      <c r="V11" s="15"/>
      <c r="W11" s="15"/>
      <c r="X11" s="15"/>
      <c r="Y11" s="16"/>
      <c r="Z11" s="17"/>
      <c r="AA11" s="18"/>
      <c r="AB11" s="15"/>
      <c r="AC11" s="18"/>
      <c r="AD11" s="15"/>
      <c r="AE11" s="19">
        <f t="shared" si="0"/>
        <v>0</v>
      </c>
      <c r="AF11" s="26">
        <f t="shared" si="1"/>
        <v>0</v>
      </c>
    </row>
    <row r="12" spans="1:32" ht="18.600000000000001" x14ac:dyDescent="0.3">
      <c r="A12" s="27" t="s">
        <v>52</v>
      </c>
      <c r="B12" s="5">
        <v>3</v>
      </c>
      <c r="C12" s="28">
        <v>350000</v>
      </c>
      <c r="D12" s="29">
        <f t="shared" si="2"/>
        <v>1050000</v>
      </c>
      <c r="E12" s="18"/>
      <c r="F12" s="18"/>
      <c r="G12" s="16"/>
      <c r="H12" s="9"/>
      <c r="I12" s="9"/>
      <c r="J12" s="18"/>
      <c r="K12" s="15"/>
      <c r="L12" s="18"/>
      <c r="M12" s="16"/>
      <c r="N12" s="18"/>
      <c r="O12" s="15"/>
      <c r="P12" s="18"/>
      <c r="Q12" s="18"/>
      <c r="R12" s="18"/>
      <c r="S12" s="16"/>
      <c r="T12" s="18"/>
      <c r="U12" s="15"/>
      <c r="V12" s="15"/>
      <c r="W12" s="15"/>
      <c r="X12" s="15"/>
      <c r="Y12" s="16"/>
      <c r="Z12" s="17"/>
      <c r="AA12" s="18"/>
      <c r="AB12" s="15"/>
      <c r="AC12" s="18"/>
      <c r="AD12" s="15"/>
      <c r="AE12" s="19">
        <f t="shared" si="0"/>
        <v>0</v>
      </c>
      <c r="AF12" s="26">
        <f t="shared" si="1"/>
        <v>0</v>
      </c>
    </row>
    <row r="13" spans="1:32" ht="18.600000000000001" x14ac:dyDescent="0.3">
      <c r="A13" s="27" t="s">
        <v>53</v>
      </c>
      <c r="B13" s="5">
        <v>3</v>
      </c>
      <c r="C13" s="28">
        <v>450000</v>
      </c>
      <c r="D13" s="29">
        <f t="shared" si="2"/>
        <v>1350000</v>
      </c>
      <c r="E13" s="18"/>
      <c r="F13" s="18"/>
      <c r="G13" s="16"/>
      <c r="H13" s="9"/>
      <c r="I13" s="9"/>
      <c r="J13" s="18"/>
      <c r="K13" s="15"/>
      <c r="L13" s="18"/>
      <c r="M13" s="16"/>
      <c r="N13" s="18"/>
      <c r="O13" s="15"/>
      <c r="P13" s="18"/>
      <c r="Q13" s="18"/>
      <c r="R13" s="18"/>
      <c r="S13" s="16"/>
      <c r="T13" s="18"/>
      <c r="U13" s="15"/>
      <c r="V13" s="15"/>
      <c r="W13" s="15"/>
      <c r="X13" s="15"/>
      <c r="Y13" s="16"/>
      <c r="Z13" s="17"/>
      <c r="AA13" s="18"/>
      <c r="AB13" s="15"/>
      <c r="AC13" s="18"/>
      <c r="AD13" s="15"/>
      <c r="AE13" s="19">
        <f t="shared" si="0"/>
        <v>0</v>
      </c>
      <c r="AF13" s="26">
        <f t="shared" si="1"/>
        <v>0</v>
      </c>
    </row>
    <row r="14" spans="1:32" ht="18.600000000000001" x14ac:dyDescent="0.3">
      <c r="A14" s="27" t="s">
        <v>54</v>
      </c>
      <c r="B14" s="5">
        <v>3</v>
      </c>
      <c r="C14" s="28">
        <v>500000</v>
      </c>
      <c r="D14" s="29">
        <f t="shared" si="2"/>
        <v>1500000</v>
      </c>
      <c r="E14" s="18"/>
      <c r="F14" s="18"/>
      <c r="G14" s="16"/>
      <c r="H14" s="9"/>
      <c r="I14" s="9">
        <v>1</v>
      </c>
      <c r="J14" s="18"/>
      <c r="K14" s="15"/>
      <c r="L14" s="18"/>
      <c r="M14" s="16"/>
      <c r="N14" s="18"/>
      <c r="O14" s="15"/>
      <c r="P14" s="18"/>
      <c r="Q14" s="18"/>
      <c r="R14" s="18"/>
      <c r="S14" s="16"/>
      <c r="T14" s="18"/>
      <c r="U14" s="15"/>
      <c r="V14" s="15"/>
      <c r="W14" s="15"/>
      <c r="X14" s="15">
        <v>1</v>
      </c>
      <c r="Y14" s="16"/>
      <c r="Z14" s="17"/>
      <c r="AA14" s="18"/>
      <c r="AB14" s="15"/>
      <c r="AC14" s="18"/>
      <c r="AD14" s="15"/>
      <c r="AE14" s="19">
        <f t="shared" si="0"/>
        <v>2</v>
      </c>
      <c r="AF14" s="26">
        <f t="shared" si="1"/>
        <v>1000000</v>
      </c>
    </row>
    <row r="15" spans="1:32" ht="18.600000000000001" x14ac:dyDescent="0.3">
      <c r="A15" s="27" t="s">
        <v>31</v>
      </c>
      <c r="B15" s="5">
        <v>3</v>
      </c>
      <c r="C15" s="28">
        <v>850000</v>
      </c>
      <c r="D15" s="29">
        <f t="shared" si="2"/>
        <v>2550000</v>
      </c>
      <c r="E15" s="18"/>
      <c r="F15" s="18"/>
      <c r="G15" s="16"/>
      <c r="H15" s="9"/>
      <c r="I15" s="9"/>
      <c r="J15" s="18"/>
      <c r="K15" s="15"/>
      <c r="L15" s="18"/>
      <c r="M15" s="16"/>
      <c r="N15" s="18"/>
      <c r="O15" s="15"/>
      <c r="P15" s="18"/>
      <c r="Q15" s="18"/>
      <c r="R15" s="18"/>
      <c r="S15" s="16"/>
      <c r="T15" s="18"/>
      <c r="U15" s="15"/>
      <c r="V15" s="15"/>
      <c r="W15" s="15"/>
      <c r="X15" s="15"/>
      <c r="Y15" s="16"/>
      <c r="Z15" s="17"/>
      <c r="AA15" s="18"/>
      <c r="AB15" s="15"/>
      <c r="AC15" s="18"/>
      <c r="AD15" s="15"/>
      <c r="AE15" s="19">
        <f t="shared" si="0"/>
        <v>0</v>
      </c>
      <c r="AF15" s="26">
        <f t="shared" si="1"/>
        <v>0</v>
      </c>
    </row>
    <row r="16" spans="1:32" ht="18.600000000000001" x14ac:dyDescent="0.3">
      <c r="A16" s="27" t="s">
        <v>32</v>
      </c>
      <c r="B16" s="5">
        <v>3</v>
      </c>
      <c r="C16" s="28">
        <v>1600000</v>
      </c>
      <c r="D16" s="29">
        <f t="shared" si="2"/>
        <v>4800000</v>
      </c>
      <c r="E16" s="18"/>
      <c r="F16" s="18"/>
      <c r="G16" s="16"/>
      <c r="H16" s="9"/>
      <c r="I16" s="9"/>
      <c r="J16" s="18"/>
      <c r="K16" s="15"/>
      <c r="L16" s="18"/>
      <c r="M16" s="16"/>
      <c r="N16" s="18"/>
      <c r="O16" s="15"/>
      <c r="P16" s="18"/>
      <c r="Q16" s="18"/>
      <c r="R16" s="18"/>
      <c r="S16" s="16"/>
      <c r="T16" s="18"/>
      <c r="U16" s="15"/>
      <c r="V16" s="15"/>
      <c r="W16" s="15"/>
      <c r="X16" s="15">
        <v>1</v>
      </c>
      <c r="Y16" s="16"/>
      <c r="Z16" s="17"/>
      <c r="AA16" s="18"/>
      <c r="AB16" s="15"/>
      <c r="AC16" s="18"/>
      <c r="AD16" s="15"/>
      <c r="AE16" s="19">
        <f t="shared" si="0"/>
        <v>1</v>
      </c>
      <c r="AF16" s="26">
        <f t="shared" si="1"/>
        <v>1600000</v>
      </c>
    </row>
    <row r="17" spans="1:32" ht="18.600000000000001" x14ac:dyDescent="0.3">
      <c r="A17" s="27" t="s">
        <v>33</v>
      </c>
      <c r="B17" s="5">
        <v>4</v>
      </c>
      <c r="C17" s="28">
        <v>1800000</v>
      </c>
      <c r="D17" s="29">
        <f t="shared" si="2"/>
        <v>7200000</v>
      </c>
      <c r="E17" s="18"/>
      <c r="F17" s="18"/>
      <c r="G17" s="16"/>
      <c r="H17" s="9"/>
      <c r="I17" s="9">
        <v>3</v>
      </c>
      <c r="J17" s="18"/>
      <c r="K17" s="15"/>
      <c r="L17" s="18"/>
      <c r="M17" s="16"/>
      <c r="N17" s="18"/>
      <c r="O17" s="15"/>
      <c r="P17" s="18"/>
      <c r="Q17" s="18"/>
      <c r="R17" s="18"/>
      <c r="S17" s="16"/>
      <c r="T17" s="18"/>
      <c r="U17" s="15"/>
      <c r="V17" s="15"/>
      <c r="W17" s="15"/>
      <c r="X17" s="15"/>
      <c r="Y17" s="16"/>
      <c r="Z17" s="18"/>
      <c r="AA17" s="18"/>
      <c r="AB17" s="15"/>
      <c r="AC17" s="18"/>
      <c r="AD17" s="15"/>
      <c r="AE17" s="19">
        <f t="shared" si="0"/>
        <v>3</v>
      </c>
      <c r="AF17" s="26">
        <f t="shared" si="1"/>
        <v>5400000</v>
      </c>
    </row>
    <row r="18" spans="1:32" ht="18.600000000000001" x14ac:dyDescent="0.3">
      <c r="A18" s="27" t="s">
        <v>34</v>
      </c>
      <c r="B18" s="5">
        <v>50</v>
      </c>
      <c r="C18" s="28">
        <v>240000</v>
      </c>
      <c r="D18" s="29">
        <f t="shared" si="2"/>
        <v>12000000</v>
      </c>
      <c r="E18" s="18"/>
      <c r="F18" s="18"/>
      <c r="G18" s="16"/>
      <c r="H18" s="9"/>
      <c r="I18" s="9"/>
      <c r="J18" s="18"/>
      <c r="K18" s="15">
        <v>1</v>
      </c>
      <c r="L18" s="18"/>
      <c r="M18" s="16"/>
      <c r="N18" s="18"/>
      <c r="O18" s="15"/>
      <c r="P18" s="18"/>
      <c r="Q18" s="18"/>
      <c r="R18" s="18"/>
      <c r="S18" s="16"/>
      <c r="T18" s="18"/>
      <c r="U18" s="15">
        <v>7</v>
      </c>
      <c r="V18" s="15">
        <v>2</v>
      </c>
      <c r="W18" s="15"/>
      <c r="X18" s="15"/>
      <c r="Y18" s="16"/>
      <c r="Z18" s="18"/>
      <c r="AA18" s="18"/>
      <c r="AB18" s="15"/>
      <c r="AC18" s="18"/>
      <c r="AD18" s="15"/>
      <c r="AE18" s="19">
        <f t="shared" si="0"/>
        <v>10</v>
      </c>
      <c r="AF18" s="26">
        <f t="shared" si="1"/>
        <v>2400000</v>
      </c>
    </row>
    <row r="19" spans="1:32" ht="18.600000000000001" x14ac:dyDescent="0.3">
      <c r="A19" s="4"/>
      <c r="B19" s="4"/>
      <c r="C19" s="4"/>
      <c r="D19" s="4"/>
      <c r="E19" s="18"/>
      <c r="F19" s="18"/>
      <c r="G19" s="16"/>
      <c r="H19" s="9"/>
      <c r="I19" s="9"/>
      <c r="J19" s="18"/>
      <c r="K19" s="15"/>
      <c r="L19" s="18"/>
      <c r="M19" s="16"/>
      <c r="N19" s="18"/>
      <c r="O19" s="15"/>
      <c r="P19" s="18"/>
      <c r="Q19" s="18"/>
      <c r="R19" s="18"/>
      <c r="S19" s="16"/>
      <c r="T19" s="18"/>
      <c r="U19" s="15"/>
      <c r="V19" s="15"/>
      <c r="W19" s="15"/>
      <c r="X19" s="15"/>
      <c r="Y19" s="16"/>
      <c r="Z19" s="18"/>
      <c r="AA19" s="18"/>
      <c r="AB19" s="15"/>
      <c r="AC19" s="18"/>
      <c r="AD19" s="15"/>
      <c r="AE19" s="19">
        <f t="shared" si="0"/>
        <v>0</v>
      </c>
      <c r="AF19" s="26"/>
    </row>
    <row r="20" spans="1:32" ht="18.600000000000001" x14ac:dyDescent="0.3">
      <c r="A20" s="4"/>
      <c r="B20" s="4">
        <f>SUM(B3:B19)</f>
        <v>205</v>
      </c>
      <c r="C20" s="4"/>
      <c r="D20" s="26">
        <f>SUM(D3:D19)</f>
        <v>63760000</v>
      </c>
      <c r="E20" s="18"/>
      <c r="F20" s="18"/>
      <c r="G20" s="16"/>
      <c r="H20" s="9">
        <v>11</v>
      </c>
      <c r="I20" s="9">
        <v>18</v>
      </c>
      <c r="J20" s="18"/>
      <c r="K20" s="15">
        <v>1</v>
      </c>
      <c r="L20" s="18"/>
      <c r="M20" s="16"/>
      <c r="N20" s="18"/>
      <c r="O20" s="15">
        <v>15</v>
      </c>
      <c r="P20" s="18"/>
      <c r="Q20" s="18"/>
      <c r="R20" s="18"/>
      <c r="S20" s="16"/>
      <c r="T20" s="18"/>
      <c r="U20" s="15">
        <v>7</v>
      </c>
      <c r="V20" s="15">
        <v>2</v>
      </c>
      <c r="W20" s="15">
        <v>15</v>
      </c>
      <c r="X20" s="15">
        <v>2</v>
      </c>
      <c r="Y20" s="16"/>
      <c r="Z20" s="18"/>
      <c r="AA20" s="18"/>
      <c r="AB20" s="15">
        <v>2</v>
      </c>
      <c r="AC20" s="18"/>
      <c r="AD20" s="15">
        <v>1</v>
      </c>
      <c r="AE20" s="19">
        <f t="shared" si="0"/>
        <v>74</v>
      </c>
      <c r="AF20" s="26">
        <f>SUM(AF3:AF19)</f>
        <v>23610000</v>
      </c>
    </row>
    <row r="21" spans="1:32" ht="40.200000000000003" customHeight="1" x14ac:dyDescent="0.3">
      <c r="A21" s="22"/>
      <c r="B21" s="22"/>
      <c r="C21" s="22"/>
      <c r="D21" s="26">
        <v>23906000</v>
      </c>
      <c r="E21" s="22"/>
      <c r="F21" s="22"/>
      <c r="G21" s="22"/>
      <c r="H21" s="30"/>
      <c r="I21" s="30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spans="1:32" ht="58.2" customHeight="1" x14ac:dyDescent="0.3">
      <c r="A22" s="22"/>
      <c r="B22" s="22"/>
      <c r="C22" s="22"/>
      <c r="D22" s="26">
        <f>D21/D20*100</f>
        <v>37.493726474278546</v>
      </c>
      <c r="E22" s="22"/>
      <c r="F22" s="22"/>
      <c r="G22" s="22"/>
      <c r="H22" s="30"/>
      <c r="I22" s="30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</row>
    <row r="23" spans="1:32" ht="37.799999999999997" customHeight="1" x14ac:dyDescent="0.3">
      <c r="A23" s="22"/>
      <c r="B23" s="22"/>
      <c r="C23" s="22" t="s">
        <v>58</v>
      </c>
      <c r="D23" s="22">
        <v>10</v>
      </c>
      <c r="E23" s="22"/>
      <c r="F23" s="22"/>
      <c r="G23" s="22"/>
      <c r="H23" s="30"/>
      <c r="I23" s="30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 spans="1:32" ht="47.4" customHeight="1" x14ac:dyDescent="0.3">
      <c r="A24" s="22"/>
      <c r="B24" s="22"/>
      <c r="C24" s="22" t="s">
        <v>59</v>
      </c>
      <c r="D24" s="22">
        <v>12</v>
      </c>
      <c r="E24" s="22"/>
      <c r="F24" s="22"/>
      <c r="G24" s="22"/>
      <c r="H24" s="30"/>
      <c r="I24" s="30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</sheetData>
  <mergeCells count="1">
    <mergeCell ref="A1:AF1"/>
  </mergeCells>
  <pageMargins left="0.7" right="0.7" top="0.75" bottom="0.75" header="0.3" footer="0.3"/>
  <pageSetup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zoomScaleNormal="100" workbookViewId="0">
      <selection activeCell="H22" sqref="H22"/>
    </sheetView>
  </sheetViews>
  <sheetFormatPr defaultColWidth="9.109375" defaultRowHeight="18.600000000000001" x14ac:dyDescent="0.3"/>
  <cols>
    <col min="1" max="1" width="24.77734375" style="22" bestFit="1" customWidth="1"/>
    <col min="2" max="2" width="7.88671875" style="30" customWidth="1"/>
    <col min="3" max="3" width="15.44140625" style="22" customWidth="1"/>
    <col min="4" max="4" width="17.5546875" style="22" customWidth="1"/>
    <col min="5" max="5" width="6.33203125" style="30" customWidth="1"/>
    <col min="6" max="6" width="6.33203125" style="22" customWidth="1"/>
    <col min="7" max="7" width="6" style="22" customWidth="1"/>
    <col min="8" max="8" width="5.77734375" style="30" customWidth="1"/>
    <col min="9" max="9" width="5.88671875" style="22" customWidth="1"/>
    <col min="10" max="10" width="6.109375" style="22" customWidth="1"/>
    <col min="11" max="11" width="5.77734375" style="22" customWidth="1"/>
    <col min="12" max="12" width="5.21875" style="22" customWidth="1"/>
    <col min="13" max="13" width="5.33203125" style="22" customWidth="1"/>
    <col min="14" max="14" width="6.33203125" style="22" customWidth="1"/>
    <col min="15" max="15" width="5.6640625" style="22" customWidth="1"/>
    <col min="16" max="16" width="6.21875" style="22" customWidth="1"/>
    <col min="17" max="17" width="6.77734375" style="22" customWidth="1"/>
    <col min="18" max="18" width="6" style="22" customWidth="1"/>
    <col min="19" max="19" width="6.109375" style="22" customWidth="1"/>
    <col min="20" max="20" width="5.33203125" style="22" customWidth="1"/>
    <col min="21" max="21" width="5.6640625" style="22" customWidth="1"/>
    <col min="22" max="22" width="10.44140625" style="22" customWidth="1"/>
    <col min="23" max="23" width="12.88671875" style="22" customWidth="1"/>
    <col min="24" max="24" width="18.33203125" style="22" customWidth="1"/>
    <col min="25" max="16384" width="9.109375" style="22"/>
  </cols>
  <sheetData>
    <row r="1" spans="1:24" ht="19.2" thickBot="1" x14ac:dyDescent="0.35">
      <c r="A1" s="108" t="s">
        <v>55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 x14ac:dyDescent="0.3">
      <c r="A2" s="40" t="s">
        <v>0</v>
      </c>
      <c r="B2" s="41" t="s">
        <v>1</v>
      </c>
      <c r="C2" s="41" t="s">
        <v>2</v>
      </c>
      <c r="D2" s="41" t="s">
        <v>3</v>
      </c>
      <c r="E2" s="42" t="s">
        <v>4</v>
      </c>
      <c r="F2" s="43" t="s">
        <v>5</v>
      </c>
      <c r="G2" s="43" t="s">
        <v>6</v>
      </c>
      <c r="H2" s="44" t="s">
        <v>7</v>
      </c>
      <c r="I2" s="43" t="s">
        <v>8</v>
      </c>
      <c r="J2" s="45" t="s">
        <v>9</v>
      </c>
      <c r="K2" s="43" t="s">
        <v>10</v>
      </c>
      <c r="L2" s="43" t="s">
        <v>11</v>
      </c>
      <c r="M2" s="43" t="s">
        <v>12</v>
      </c>
      <c r="N2" s="43" t="s">
        <v>13</v>
      </c>
      <c r="O2" s="43" t="s">
        <v>14</v>
      </c>
      <c r="P2" s="43" t="s">
        <v>15</v>
      </c>
      <c r="Q2" s="45" t="s">
        <v>16</v>
      </c>
      <c r="R2" s="43" t="s">
        <v>17</v>
      </c>
      <c r="S2" s="43" t="s">
        <v>18</v>
      </c>
      <c r="T2" s="43" t="s">
        <v>19</v>
      </c>
      <c r="U2" s="43" t="s">
        <v>20</v>
      </c>
      <c r="V2" s="44" t="s">
        <v>21</v>
      </c>
      <c r="W2" s="46" t="s">
        <v>35</v>
      </c>
      <c r="X2" s="47" t="s">
        <v>60</v>
      </c>
    </row>
    <row r="3" spans="1:24" x14ac:dyDescent="0.3">
      <c r="A3" s="48" t="s">
        <v>22</v>
      </c>
      <c r="B3" s="31">
        <v>23</v>
      </c>
      <c r="C3" s="34">
        <v>140000</v>
      </c>
      <c r="D3" s="35">
        <f>C3*B3</f>
        <v>3220000</v>
      </c>
      <c r="E3" s="32"/>
      <c r="F3" s="36"/>
      <c r="G3" s="36"/>
      <c r="H3" s="32"/>
      <c r="I3" s="36"/>
      <c r="J3" s="37"/>
      <c r="K3" s="36"/>
      <c r="L3" s="36"/>
      <c r="M3" s="36"/>
      <c r="N3" s="36"/>
      <c r="O3" s="36"/>
      <c r="P3" s="36"/>
      <c r="Q3" s="37"/>
      <c r="R3" s="36"/>
      <c r="S3" s="36"/>
      <c r="T3" s="36"/>
      <c r="U3" s="36"/>
      <c r="V3" s="32"/>
      <c r="W3" s="33"/>
      <c r="X3" s="49"/>
    </row>
    <row r="4" spans="1:24" x14ac:dyDescent="0.3">
      <c r="A4" s="48" t="s">
        <v>23</v>
      </c>
      <c r="B4" s="31">
        <v>40</v>
      </c>
      <c r="C4" s="34">
        <v>170000</v>
      </c>
      <c r="D4" s="35">
        <f t="shared" ref="D4:D15" si="0">C4*B4</f>
        <v>6800000</v>
      </c>
      <c r="E4" s="32">
        <v>6</v>
      </c>
      <c r="F4" s="36"/>
      <c r="G4" s="36"/>
      <c r="H4" s="32">
        <v>6</v>
      </c>
      <c r="I4" s="36"/>
      <c r="J4" s="37"/>
      <c r="K4" s="36"/>
      <c r="L4" s="36"/>
      <c r="M4" s="36"/>
      <c r="N4" s="36"/>
      <c r="O4" s="36"/>
      <c r="P4" s="36"/>
      <c r="Q4" s="37"/>
      <c r="R4" s="36"/>
      <c r="S4" s="36"/>
      <c r="T4" s="36"/>
      <c r="U4" s="36"/>
      <c r="V4" s="32"/>
      <c r="W4" s="33">
        <f>SUM(E4:V4)</f>
        <v>12</v>
      </c>
      <c r="X4" s="50">
        <f>W4*C4</f>
        <v>2040000</v>
      </c>
    </row>
    <row r="5" spans="1:24" x14ac:dyDescent="0.3">
      <c r="A5" s="48" t="s">
        <v>24</v>
      </c>
      <c r="B5" s="31">
        <v>15</v>
      </c>
      <c r="C5" s="34">
        <v>305000</v>
      </c>
      <c r="D5" s="35">
        <f t="shared" si="0"/>
        <v>4575000</v>
      </c>
      <c r="E5" s="32"/>
      <c r="F5" s="36"/>
      <c r="G5" s="36"/>
      <c r="H5" s="32"/>
      <c r="I5" s="36"/>
      <c r="J5" s="37"/>
      <c r="K5" s="36"/>
      <c r="L5" s="36"/>
      <c r="M5" s="36"/>
      <c r="N5" s="36"/>
      <c r="O5" s="36"/>
      <c r="P5" s="36"/>
      <c r="Q5" s="37"/>
      <c r="R5" s="36"/>
      <c r="S5" s="36"/>
      <c r="T5" s="36"/>
      <c r="U5" s="36"/>
      <c r="V5" s="32"/>
      <c r="W5" s="33">
        <f t="shared" ref="W5:W17" si="1">SUM(E5:V5)</f>
        <v>0</v>
      </c>
      <c r="X5" s="50">
        <f t="shared" ref="X5:X15" si="2">W5*C5</f>
        <v>0</v>
      </c>
    </row>
    <row r="6" spans="1:24" x14ac:dyDescent="0.3">
      <c r="A6" s="48" t="s">
        <v>25</v>
      </c>
      <c r="B6" s="31">
        <v>5</v>
      </c>
      <c r="C6" s="34">
        <v>420000</v>
      </c>
      <c r="D6" s="35">
        <f t="shared" si="0"/>
        <v>2100000</v>
      </c>
      <c r="E6" s="32"/>
      <c r="F6" s="36"/>
      <c r="G6" s="36"/>
      <c r="H6" s="32"/>
      <c r="I6" s="36"/>
      <c r="J6" s="37"/>
      <c r="K6" s="36"/>
      <c r="L6" s="36"/>
      <c r="M6" s="36"/>
      <c r="N6" s="36"/>
      <c r="O6" s="36"/>
      <c r="P6" s="36"/>
      <c r="Q6" s="37"/>
      <c r="R6" s="36"/>
      <c r="S6" s="36"/>
      <c r="T6" s="36"/>
      <c r="U6" s="36"/>
      <c r="V6" s="32"/>
      <c r="W6" s="33">
        <f t="shared" si="1"/>
        <v>0</v>
      </c>
      <c r="X6" s="50">
        <f t="shared" si="2"/>
        <v>0</v>
      </c>
    </row>
    <row r="7" spans="1:24" x14ac:dyDescent="0.3">
      <c r="A7" s="48" t="s">
        <v>26</v>
      </c>
      <c r="B7" s="31">
        <v>6</v>
      </c>
      <c r="C7" s="34">
        <v>700000</v>
      </c>
      <c r="D7" s="35">
        <f t="shared" si="0"/>
        <v>4200000</v>
      </c>
      <c r="E7" s="32"/>
      <c r="F7" s="36"/>
      <c r="G7" s="36"/>
      <c r="H7" s="32"/>
      <c r="I7" s="36"/>
      <c r="J7" s="37"/>
      <c r="K7" s="36"/>
      <c r="L7" s="36"/>
      <c r="M7" s="36"/>
      <c r="N7" s="36"/>
      <c r="O7" s="36"/>
      <c r="P7" s="36"/>
      <c r="Q7" s="37"/>
      <c r="R7" s="36"/>
      <c r="S7" s="36"/>
      <c r="T7" s="36"/>
      <c r="U7" s="36"/>
      <c r="V7" s="32"/>
      <c r="W7" s="33">
        <f t="shared" si="1"/>
        <v>0</v>
      </c>
      <c r="X7" s="50">
        <f t="shared" si="2"/>
        <v>0</v>
      </c>
    </row>
    <row r="8" spans="1:24" x14ac:dyDescent="0.3">
      <c r="A8" s="48" t="s">
        <v>27</v>
      </c>
      <c r="B8" s="31">
        <v>10</v>
      </c>
      <c r="C8" s="34">
        <v>340000</v>
      </c>
      <c r="D8" s="35">
        <f t="shared" si="0"/>
        <v>3400000</v>
      </c>
      <c r="E8" s="32">
        <v>1</v>
      </c>
      <c r="F8" s="36"/>
      <c r="G8" s="36"/>
      <c r="H8" s="32"/>
      <c r="I8" s="36"/>
      <c r="J8" s="37"/>
      <c r="K8" s="36"/>
      <c r="L8" s="36"/>
      <c r="M8" s="36"/>
      <c r="N8" s="36"/>
      <c r="O8" s="36"/>
      <c r="P8" s="36"/>
      <c r="Q8" s="37"/>
      <c r="R8" s="36"/>
      <c r="S8" s="36"/>
      <c r="T8" s="36"/>
      <c r="U8" s="36"/>
      <c r="V8" s="32"/>
      <c r="W8" s="33">
        <f t="shared" si="1"/>
        <v>1</v>
      </c>
      <c r="X8" s="50">
        <f t="shared" si="2"/>
        <v>340000</v>
      </c>
    </row>
    <row r="9" spans="1:24" x14ac:dyDescent="0.3">
      <c r="A9" s="48" t="s">
        <v>28</v>
      </c>
      <c r="B9" s="31">
        <v>10</v>
      </c>
      <c r="C9" s="34">
        <v>450000</v>
      </c>
      <c r="D9" s="35">
        <f t="shared" si="0"/>
        <v>4500000</v>
      </c>
      <c r="E9" s="32"/>
      <c r="F9" s="36"/>
      <c r="G9" s="36"/>
      <c r="H9" s="32"/>
      <c r="I9" s="36"/>
      <c r="J9" s="37"/>
      <c r="K9" s="36"/>
      <c r="L9" s="36"/>
      <c r="M9" s="36"/>
      <c r="N9" s="36"/>
      <c r="O9" s="36"/>
      <c r="P9" s="36"/>
      <c r="Q9" s="37"/>
      <c r="R9" s="36"/>
      <c r="S9" s="36"/>
      <c r="T9" s="36"/>
      <c r="U9" s="36"/>
      <c r="V9" s="32"/>
      <c r="W9" s="33">
        <f t="shared" si="1"/>
        <v>0</v>
      </c>
      <c r="X9" s="50">
        <f t="shared" si="2"/>
        <v>0</v>
      </c>
    </row>
    <row r="10" spans="1:24" x14ac:dyDescent="0.3">
      <c r="A10" s="48" t="s">
        <v>29</v>
      </c>
      <c r="B10" s="31">
        <v>10</v>
      </c>
      <c r="C10" s="34">
        <v>500000</v>
      </c>
      <c r="D10" s="35">
        <f t="shared" si="0"/>
        <v>5000000</v>
      </c>
      <c r="E10" s="32">
        <v>2</v>
      </c>
      <c r="F10" s="36"/>
      <c r="G10" s="36"/>
      <c r="H10" s="32"/>
      <c r="I10" s="36"/>
      <c r="J10" s="37"/>
      <c r="K10" s="36"/>
      <c r="L10" s="36"/>
      <c r="M10" s="36"/>
      <c r="N10" s="36"/>
      <c r="O10" s="36"/>
      <c r="P10" s="36"/>
      <c r="Q10" s="37"/>
      <c r="R10" s="36"/>
      <c r="S10" s="36"/>
      <c r="T10" s="36"/>
      <c r="U10" s="36"/>
      <c r="V10" s="32"/>
      <c r="W10" s="33">
        <f t="shared" si="1"/>
        <v>2</v>
      </c>
      <c r="X10" s="50">
        <f t="shared" si="2"/>
        <v>1000000</v>
      </c>
    </row>
    <row r="11" spans="1:24" x14ac:dyDescent="0.3">
      <c r="A11" s="48" t="s">
        <v>30</v>
      </c>
      <c r="B11" s="31">
        <v>3</v>
      </c>
      <c r="C11" s="34">
        <v>750000</v>
      </c>
      <c r="D11" s="35">
        <f t="shared" si="0"/>
        <v>2250000</v>
      </c>
      <c r="E11" s="32"/>
      <c r="F11" s="36"/>
      <c r="G11" s="36"/>
      <c r="H11" s="32"/>
      <c r="I11" s="36"/>
      <c r="J11" s="37"/>
      <c r="K11" s="36"/>
      <c r="L11" s="36"/>
      <c r="M11" s="36"/>
      <c r="N11" s="36"/>
      <c r="O11" s="36"/>
      <c r="P11" s="36"/>
      <c r="Q11" s="37"/>
      <c r="R11" s="36"/>
      <c r="S11" s="36"/>
      <c r="T11" s="36"/>
      <c r="U11" s="36"/>
      <c r="V11" s="32">
        <v>1</v>
      </c>
      <c r="W11" s="33">
        <f t="shared" si="1"/>
        <v>1</v>
      </c>
      <c r="X11" s="50">
        <f t="shared" si="2"/>
        <v>750000</v>
      </c>
    </row>
    <row r="12" spans="1:24" x14ac:dyDescent="0.3">
      <c r="A12" s="48" t="s">
        <v>31</v>
      </c>
      <c r="B12" s="31">
        <v>5</v>
      </c>
      <c r="C12" s="34">
        <v>800000</v>
      </c>
      <c r="D12" s="35">
        <f t="shared" si="0"/>
        <v>4000000</v>
      </c>
      <c r="E12" s="32"/>
      <c r="F12" s="36"/>
      <c r="G12" s="36"/>
      <c r="H12" s="32"/>
      <c r="I12" s="36"/>
      <c r="J12" s="37"/>
      <c r="K12" s="36"/>
      <c r="L12" s="36"/>
      <c r="M12" s="36"/>
      <c r="N12" s="36"/>
      <c r="O12" s="36"/>
      <c r="P12" s="36"/>
      <c r="Q12" s="37"/>
      <c r="R12" s="36"/>
      <c r="S12" s="36"/>
      <c r="T12" s="36"/>
      <c r="U12" s="36"/>
      <c r="V12" s="32"/>
      <c r="W12" s="33">
        <f t="shared" si="1"/>
        <v>0</v>
      </c>
      <c r="X12" s="50">
        <f t="shared" si="2"/>
        <v>0</v>
      </c>
    </row>
    <row r="13" spans="1:24" x14ac:dyDescent="0.3">
      <c r="A13" s="48" t="s">
        <v>32</v>
      </c>
      <c r="B13" s="31">
        <v>5</v>
      </c>
      <c r="C13" s="34">
        <v>1550000</v>
      </c>
      <c r="D13" s="35">
        <f t="shared" si="0"/>
        <v>7750000</v>
      </c>
      <c r="E13" s="32">
        <v>1</v>
      </c>
      <c r="F13" s="36"/>
      <c r="G13" s="36"/>
      <c r="H13" s="32"/>
      <c r="I13" s="36"/>
      <c r="J13" s="37"/>
      <c r="K13" s="36"/>
      <c r="L13" s="36"/>
      <c r="M13" s="36"/>
      <c r="N13" s="36"/>
      <c r="O13" s="36"/>
      <c r="P13" s="36"/>
      <c r="Q13" s="37"/>
      <c r="R13" s="36"/>
      <c r="S13" s="36"/>
      <c r="T13" s="36"/>
      <c r="U13" s="36"/>
      <c r="V13" s="32"/>
      <c r="W13" s="33">
        <f t="shared" si="1"/>
        <v>1</v>
      </c>
      <c r="X13" s="50">
        <f t="shared" si="2"/>
        <v>1550000</v>
      </c>
    </row>
    <row r="14" spans="1:24" x14ac:dyDescent="0.3">
      <c r="A14" s="48" t="s">
        <v>33</v>
      </c>
      <c r="B14" s="31">
        <v>5</v>
      </c>
      <c r="C14" s="34">
        <v>1700000</v>
      </c>
      <c r="D14" s="35">
        <f t="shared" si="0"/>
        <v>8500000</v>
      </c>
      <c r="E14" s="32">
        <v>1</v>
      </c>
      <c r="F14" s="36"/>
      <c r="G14" s="36"/>
      <c r="H14" s="32"/>
      <c r="I14" s="36"/>
      <c r="J14" s="37"/>
      <c r="K14" s="36"/>
      <c r="L14" s="36"/>
      <c r="M14" s="36"/>
      <c r="N14" s="36"/>
      <c r="O14" s="36"/>
      <c r="P14" s="36"/>
      <c r="Q14" s="37"/>
      <c r="R14" s="36"/>
      <c r="S14" s="36"/>
      <c r="T14" s="36"/>
      <c r="U14" s="36"/>
      <c r="V14" s="32"/>
      <c r="W14" s="33">
        <f t="shared" si="1"/>
        <v>1</v>
      </c>
      <c r="X14" s="50">
        <f t="shared" si="2"/>
        <v>1700000</v>
      </c>
    </row>
    <row r="15" spans="1:24" x14ac:dyDescent="0.3">
      <c r="A15" s="48" t="s">
        <v>34</v>
      </c>
      <c r="B15" s="31">
        <v>50</v>
      </c>
      <c r="C15" s="34">
        <v>230000</v>
      </c>
      <c r="D15" s="35">
        <f t="shared" si="0"/>
        <v>11500000</v>
      </c>
      <c r="E15" s="32">
        <v>5</v>
      </c>
      <c r="F15" s="36"/>
      <c r="G15" s="36"/>
      <c r="H15" s="32">
        <v>11</v>
      </c>
      <c r="I15" s="36"/>
      <c r="J15" s="37"/>
      <c r="K15" s="36"/>
      <c r="L15" s="36"/>
      <c r="M15" s="36"/>
      <c r="N15" s="36"/>
      <c r="O15" s="36"/>
      <c r="P15" s="36"/>
      <c r="Q15" s="37"/>
      <c r="R15" s="36"/>
      <c r="S15" s="36"/>
      <c r="T15" s="36"/>
      <c r="U15" s="36"/>
      <c r="V15" s="32"/>
      <c r="W15" s="33">
        <f t="shared" si="1"/>
        <v>16</v>
      </c>
      <c r="X15" s="50">
        <f t="shared" si="2"/>
        <v>3680000</v>
      </c>
    </row>
    <row r="16" spans="1:24" x14ac:dyDescent="0.3">
      <c r="A16" s="48"/>
      <c r="B16" s="31"/>
      <c r="C16" s="33"/>
      <c r="D16" s="33"/>
      <c r="E16" s="32"/>
      <c r="F16" s="36"/>
      <c r="G16" s="36"/>
      <c r="H16" s="32"/>
      <c r="I16" s="36"/>
      <c r="J16" s="37"/>
      <c r="K16" s="36"/>
      <c r="L16" s="36"/>
      <c r="M16" s="36"/>
      <c r="N16" s="36"/>
      <c r="O16" s="36"/>
      <c r="P16" s="36"/>
      <c r="Q16" s="37"/>
      <c r="R16" s="36"/>
      <c r="S16" s="36"/>
      <c r="T16" s="36"/>
      <c r="U16" s="36"/>
      <c r="V16" s="32"/>
      <c r="W16" s="33">
        <f t="shared" si="1"/>
        <v>0</v>
      </c>
      <c r="X16" s="49"/>
    </row>
    <row r="17" spans="1:24" x14ac:dyDescent="0.3">
      <c r="A17" s="48" t="s">
        <v>35</v>
      </c>
      <c r="B17" s="31">
        <f>SUM(B3:B16)</f>
        <v>187</v>
      </c>
      <c r="C17" s="33"/>
      <c r="D17" s="38">
        <f>SUM(D3:D15)</f>
        <v>67795000</v>
      </c>
      <c r="E17" s="32">
        <v>16</v>
      </c>
      <c r="F17" s="36"/>
      <c r="G17" s="36"/>
      <c r="H17" s="32">
        <v>17</v>
      </c>
      <c r="I17" s="36"/>
      <c r="J17" s="37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2">
        <v>1</v>
      </c>
      <c r="W17" s="33">
        <f t="shared" si="1"/>
        <v>34</v>
      </c>
      <c r="X17" s="50">
        <f>SUM(X4:X16)</f>
        <v>11060000</v>
      </c>
    </row>
    <row r="18" spans="1:24" ht="30.6" customHeight="1" x14ac:dyDescent="0.3">
      <c r="A18" s="48"/>
      <c r="B18" s="31"/>
      <c r="C18" s="33"/>
      <c r="D18" s="38">
        <v>12310000</v>
      </c>
      <c r="E18" s="31"/>
      <c r="F18" s="33"/>
      <c r="G18" s="33"/>
      <c r="H18" s="31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51"/>
    </row>
    <row r="19" spans="1:24" ht="40.200000000000003" customHeight="1" x14ac:dyDescent="0.3">
      <c r="A19" s="48"/>
      <c r="B19" s="31"/>
      <c r="C19" s="33"/>
      <c r="D19" s="39">
        <f>D18/D17*100</f>
        <v>18.157681244929567</v>
      </c>
      <c r="E19" s="31"/>
      <c r="F19" s="33"/>
      <c r="G19" s="33"/>
      <c r="H19" s="31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51"/>
    </row>
    <row r="20" spans="1:24" x14ac:dyDescent="0.3">
      <c r="A20" s="48"/>
      <c r="B20" s="31"/>
      <c r="C20" s="33" t="s">
        <v>58</v>
      </c>
      <c r="D20" s="33">
        <v>3</v>
      </c>
      <c r="E20" s="31"/>
      <c r="F20" s="33"/>
      <c r="G20" s="33"/>
      <c r="H20" s="31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51"/>
    </row>
    <row r="21" spans="1:24" ht="19.2" thickBot="1" x14ac:dyDescent="0.35">
      <c r="A21" s="52"/>
      <c r="B21" s="53"/>
      <c r="C21" s="54" t="s">
        <v>59</v>
      </c>
      <c r="D21" s="54">
        <v>13</v>
      </c>
      <c r="E21" s="53"/>
      <c r="F21" s="54"/>
      <c r="G21" s="54"/>
      <c r="H21" s="53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5"/>
    </row>
  </sheetData>
  <mergeCells count="1">
    <mergeCell ref="A1:X1"/>
  </mergeCells>
  <pageMargins left="0.7" right="0.7" top="0.75" bottom="0.75" header="0.3" footer="0.3"/>
  <pageSetup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2FB6-306C-4BF2-A56F-B25EDCFA474C}">
  <sheetPr>
    <pageSetUpPr fitToPage="1"/>
  </sheetPr>
  <dimension ref="A1:AK31"/>
  <sheetViews>
    <sheetView tabSelected="1" zoomScaleNormal="100" workbookViewId="0">
      <selection activeCell="K30" sqref="K30"/>
    </sheetView>
  </sheetViews>
  <sheetFormatPr defaultColWidth="9.109375" defaultRowHeight="18" x14ac:dyDescent="0.35"/>
  <cols>
    <col min="1" max="1" width="20" style="2" customWidth="1"/>
    <col min="2" max="2" width="7.88671875" style="2" customWidth="1"/>
    <col min="3" max="3" width="13.5546875" style="2" bestFit="1" customWidth="1"/>
    <col min="4" max="4" width="17.5546875" style="2" customWidth="1"/>
    <col min="5" max="5" width="6.33203125" style="3" bestFit="1" customWidth="1"/>
    <col min="6" max="6" width="6.33203125" style="2" bestFit="1" customWidth="1"/>
    <col min="7" max="7" width="6" style="3" customWidth="1"/>
    <col min="8" max="8" width="5.77734375" style="3" customWidth="1"/>
    <col min="9" max="9" width="5.88671875" style="2" customWidth="1"/>
    <col min="10" max="10" width="6.109375" style="2" customWidth="1"/>
    <col min="11" max="11" width="5.77734375" style="2" customWidth="1"/>
    <col min="12" max="12" width="5.21875" style="2" customWidth="1"/>
    <col min="13" max="13" width="6.6640625" style="2" customWidth="1"/>
    <col min="14" max="14" width="6.33203125" style="3" customWidth="1"/>
    <col min="15" max="15" width="5.6640625" style="2" customWidth="1"/>
    <col min="16" max="16" width="6.21875" style="2" customWidth="1"/>
    <col min="17" max="17" width="6.77734375" style="2" customWidth="1"/>
    <col min="18" max="18" width="6" style="2" customWidth="1"/>
    <col min="19" max="19" width="6.109375" style="2" customWidth="1"/>
    <col min="20" max="20" width="5.33203125" style="2" customWidth="1"/>
    <col min="21" max="21" width="5.6640625" style="2" customWidth="1"/>
    <col min="22" max="22" width="5.88671875" style="2" customWidth="1"/>
    <col min="23" max="23" width="5.5546875" style="2" customWidth="1"/>
    <col min="24" max="24" width="7.5546875" style="2" bestFit="1" customWidth="1"/>
    <col min="25" max="25" width="5.33203125" style="2" customWidth="1"/>
    <col min="26" max="26" width="6.5546875" style="2" customWidth="1"/>
    <col min="27" max="27" width="6.109375" style="2" customWidth="1"/>
    <col min="28" max="28" width="6.44140625" style="2" customWidth="1"/>
    <col min="29" max="29" width="5.6640625" style="2" customWidth="1"/>
    <col min="30" max="31" width="5.5546875" style="2" customWidth="1"/>
    <col min="32" max="32" width="5.21875" style="2" customWidth="1"/>
    <col min="33" max="33" width="6.44140625" style="2" customWidth="1"/>
    <col min="34" max="34" width="6.33203125" style="2" customWidth="1"/>
    <col min="35" max="35" width="5.6640625" style="2" customWidth="1"/>
    <col min="36" max="36" width="12.21875" style="3" customWidth="1"/>
    <col min="37" max="37" width="15.88671875" style="90" bestFit="1" customWidth="1"/>
    <col min="38" max="16384" width="9.109375" style="2"/>
  </cols>
  <sheetData>
    <row r="1" spans="1:37" ht="18.600000000000001" thickBot="1" x14ac:dyDescent="0.4">
      <c r="A1" s="105" t="s">
        <v>62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7" ht="19.2" x14ac:dyDescent="0.35">
      <c r="A2" s="56" t="s">
        <v>0</v>
      </c>
      <c r="B2" s="57" t="s">
        <v>1</v>
      </c>
      <c r="C2" s="57" t="s">
        <v>2</v>
      </c>
      <c r="D2" s="57" t="s">
        <v>3</v>
      </c>
      <c r="E2" s="72">
        <v>1</v>
      </c>
      <c r="F2" s="72">
        <v>2</v>
      </c>
      <c r="G2" s="84">
        <v>3</v>
      </c>
      <c r="H2" s="80">
        <v>4</v>
      </c>
      <c r="I2" s="84">
        <v>5</v>
      </c>
      <c r="J2" s="104">
        <v>6</v>
      </c>
      <c r="K2" s="104">
        <v>7</v>
      </c>
      <c r="L2" s="72">
        <v>8</v>
      </c>
      <c r="M2" s="80">
        <v>9</v>
      </c>
      <c r="N2" s="80">
        <v>10</v>
      </c>
      <c r="O2" s="80">
        <v>11</v>
      </c>
      <c r="P2" s="58">
        <v>12</v>
      </c>
      <c r="Q2" s="58">
        <v>13</v>
      </c>
      <c r="R2" s="58">
        <v>14</v>
      </c>
      <c r="S2" s="72">
        <v>15</v>
      </c>
      <c r="T2" s="58">
        <v>16</v>
      </c>
      <c r="U2" s="58">
        <v>17</v>
      </c>
      <c r="V2" s="58">
        <v>18</v>
      </c>
      <c r="W2" s="58">
        <v>19</v>
      </c>
      <c r="X2" s="58">
        <v>20</v>
      </c>
      <c r="Y2" s="58">
        <v>21</v>
      </c>
      <c r="Z2" s="72">
        <v>22</v>
      </c>
      <c r="AA2" s="58">
        <v>23</v>
      </c>
      <c r="AB2" s="58">
        <v>24</v>
      </c>
      <c r="AC2" s="58">
        <v>25</v>
      </c>
      <c r="AD2" s="58">
        <v>26</v>
      </c>
      <c r="AE2" s="58">
        <v>27</v>
      </c>
      <c r="AF2" s="58">
        <v>28</v>
      </c>
      <c r="AG2" s="72">
        <v>29</v>
      </c>
      <c r="AH2" s="58">
        <v>30</v>
      </c>
      <c r="AI2" s="58">
        <v>31</v>
      </c>
      <c r="AJ2" s="97" t="s">
        <v>63</v>
      </c>
      <c r="AK2" s="94" t="s">
        <v>64</v>
      </c>
    </row>
    <row r="3" spans="1:37" ht="19.2" x14ac:dyDescent="0.35">
      <c r="A3" s="93"/>
      <c r="B3" s="5"/>
      <c r="C3" s="5"/>
      <c r="D3" s="5"/>
      <c r="E3" s="91"/>
      <c r="F3" s="91"/>
      <c r="G3" s="7"/>
      <c r="H3" s="9"/>
      <c r="I3" s="7"/>
      <c r="J3" s="101"/>
      <c r="K3" s="101"/>
      <c r="L3" s="91"/>
      <c r="M3" s="9"/>
      <c r="N3" s="9"/>
      <c r="O3" s="9"/>
      <c r="P3" s="92"/>
      <c r="Q3" s="92"/>
      <c r="R3" s="92"/>
      <c r="S3" s="91"/>
      <c r="T3" s="92"/>
      <c r="U3" s="92"/>
      <c r="V3" s="92"/>
      <c r="W3" s="92"/>
      <c r="X3" s="92"/>
      <c r="Y3" s="92"/>
      <c r="Z3" s="91"/>
      <c r="AA3" s="92"/>
      <c r="AB3" s="92"/>
      <c r="AC3" s="92"/>
      <c r="AD3" s="92"/>
      <c r="AE3" s="92"/>
      <c r="AF3" s="92"/>
      <c r="AG3" s="91"/>
      <c r="AH3" s="92"/>
      <c r="AI3" s="92"/>
      <c r="AJ3" s="98"/>
      <c r="AK3" s="95"/>
    </row>
    <row r="4" spans="1:37" ht="19.2" x14ac:dyDescent="0.35">
      <c r="A4" s="59" t="s">
        <v>22</v>
      </c>
      <c r="B4" s="13"/>
      <c r="C4" s="60">
        <v>140000</v>
      </c>
      <c r="D4" s="14">
        <f>C4*B4</f>
        <v>0</v>
      </c>
      <c r="E4" s="77"/>
      <c r="F4" s="78"/>
      <c r="G4" s="85"/>
      <c r="H4" s="81"/>
      <c r="I4" s="88"/>
      <c r="J4" s="102"/>
      <c r="K4" s="102"/>
      <c r="L4" s="78"/>
      <c r="M4" s="110"/>
      <c r="N4" s="81"/>
      <c r="O4" s="110"/>
      <c r="P4" s="63"/>
      <c r="Q4" s="63"/>
      <c r="R4" s="63"/>
      <c r="S4" s="78"/>
      <c r="T4" s="63"/>
      <c r="U4" s="63"/>
      <c r="V4" s="79"/>
      <c r="W4" s="63"/>
      <c r="X4" s="63"/>
      <c r="Y4" s="14"/>
      <c r="Z4" s="78"/>
      <c r="AA4" s="14"/>
      <c r="AB4" s="14"/>
      <c r="AC4" s="14"/>
      <c r="AD4" s="14"/>
      <c r="AE4" s="14"/>
      <c r="AF4" s="14"/>
      <c r="AG4" s="78"/>
      <c r="AH4" s="14"/>
      <c r="AI4" s="14"/>
      <c r="AJ4" s="99">
        <f>E4+F4+G4++H4+I4+J4+K4+L4+M4+N4+O4+P4+Q4+R4+S4+T4+U4+V4+W4+X4+Y4+Z4+AA4+AB4+AC4+AD4+AE4+AF4+AG4+AH4+AI4</f>
        <v>0</v>
      </c>
      <c r="AK4" s="95">
        <f>AJ4*C4</f>
        <v>0</v>
      </c>
    </row>
    <row r="5" spans="1:37" ht="19.2" x14ac:dyDescent="0.35">
      <c r="A5" s="59" t="s">
        <v>23</v>
      </c>
      <c r="B5" s="13">
        <v>35</v>
      </c>
      <c r="C5" s="60">
        <v>170000</v>
      </c>
      <c r="D5" s="14">
        <f t="shared" ref="D5:D27" si="0">C5*B5</f>
        <v>5950000</v>
      </c>
      <c r="E5" s="73"/>
      <c r="F5" s="75"/>
      <c r="G5" s="86"/>
      <c r="H5" s="82"/>
      <c r="I5" s="89"/>
      <c r="J5" s="103"/>
      <c r="K5" s="103"/>
      <c r="L5" s="75"/>
      <c r="M5" s="111"/>
      <c r="N5" s="82">
        <v>1</v>
      </c>
      <c r="O5" s="111"/>
      <c r="P5" s="62"/>
      <c r="Q5" s="62"/>
      <c r="R5" s="62"/>
      <c r="S5" s="75"/>
      <c r="T5" s="62"/>
      <c r="U5" s="62"/>
      <c r="V5" s="61"/>
      <c r="W5" s="62"/>
      <c r="X5" s="63"/>
      <c r="Y5" s="12"/>
      <c r="Z5" s="75"/>
      <c r="AA5" s="12"/>
      <c r="AB5" s="12"/>
      <c r="AC5" s="12"/>
      <c r="AD5" s="12"/>
      <c r="AE5" s="12"/>
      <c r="AF5" s="12"/>
      <c r="AG5" s="75"/>
      <c r="AH5" s="12"/>
      <c r="AI5" s="12"/>
      <c r="AJ5" s="99">
        <f t="shared" ref="AJ5:AJ30" si="1">E5+F5+G5++H5+I5+J5+K5+L5+M5+N5+O5+P5+Q5+R5+S5+T5+U5+V5+W5+X5+Y5+Z5+AA5+AB5+AC5+AD5+AE5+AF5+AG5+AH5+AI5</f>
        <v>1</v>
      </c>
      <c r="AK5" s="95">
        <f t="shared" ref="AK5:AK29" si="2">AJ5*C5</f>
        <v>170000</v>
      </c>
    </row>
    <row r="6" spans="1:37" ht="19.2" x14ac:dyDescent="0.35">
      <c r="A6" s="59" t="s">
        <v>24</v>
      </c>
      <c r="B6" s="13">
        <v>9</v>
      </c>
      <c r="C6" s="60">
        <v>305000</v>
      </c>
      <c r="D6" s="14">
        <f t="shared" si="0"/>
        <v>2745000</v>
      </c>
      <c r="E6" s="73"/>
      <c r="F6" s="75"/>
      <c r="G6" s="86"/>
      <c r="H6" s="82"/>
      <c r="I6" s="89"/>
      <c r="J6" s="103"/>
      <c r="K6" s="103"/>
      <c r="L6" s="75"/>
      <c r="M6" s="111"/>
      <c r="N6" s="82"/>
      <c r="O6" s="111"/>
      <c r="P6" s="62"/>
      <c r="Q6" s="62"/>
      <c r="R6" s="62"/>
      <c r="S6" s="75"/>
      <c r="T6" s="62"/>
      <c r="U6" s="62"/>
      <c r="V6" s="61"/>
      <c r="W6" s="62"/>
      <c r="X6" s="63"/>
      <c r="Y6" s="12"/>
      <c r="Z6" s="75"/>
      <c r="AA6" s="12"/>
      <c r="AB6" s="12"/>
      <c r="AC6" s="12"/>
      <c r="AD6" s="12"/>
      <c r="AE6" s="12"/>
      <c r="AF6" s="12"/>
      <c r="AG6" s="75"/>
      <c r="AH6" s="12"/>
      <c r="AI6" s="12"/>
      <c r="AJ6" s="99">
        <f t="shared" si="1"/>
        <v>0</v>
      </c>
      <c r="AK6" s="95">
        <f t="shared" si="2"/>
        <v>0</v>
      </c>
    </row>
    <row r="7" spans="1:37" ht="19.2" x14ac:dyDescent="0.35">
      <c r="A7" s="59" t="s">
        <v>25</v>
      </c>
      <c r="B7" s="13">
        <v>7</v>
      </c>
      <c r="C7" s="60">
        <v>420000</v>
      </c>
      <c r="D7" s="14">
        <f t="shared" si="0"/>
        <v>2940000</v>
      </c>
      <c r="E7" s="73"/>
      <c r="F7" s="75"/>
      <c r="G7" s="86"/>
      <c r="H7" s="82"/>
      <c r="I7" s="89"/>
      <c r="J7" s="103"/>
      <c r="K7" s="103"/>
      <c r="L7" s="75"/>
      <c r="M7" s="111"/>
      <c r="N7" s="82"/>
      <c r="O7" s="111"/>
      <c r="P7" s="62"/>
      <c r="Q7" s="62"/>
      <c r="R7" s="62"/>
      <c r="S7" s="75"/>
      <c r="T7" s="62"/>
      <c r="U7" s="62"/>
      <c r="V7" s="61"/>
      <c r="W7" s="62"/>
      <c r="X7" s="63"/>
      <c r="Y7" s="12"/>
      <c r="Z7" s="75"/>
      <c r="AA7" s="12"/>
      <c r="AB7" s="12"/>
      <c r="AC7" s="12"/>
      <c r="AD7" s="12"/>
      <c r="AE7" s="12"/>
      <c r="AF7" s="12"/>
      <c r="AG7" s="75"/>
      <c r="AH7" s="12"/>
      <c r="AI7" s="12"/>
      <c r="AJ7" s="99">
        <f t="shared" si="1"/>
        <v>0</v>
      </c>
      <c r="AK7" s="95">
        <f t="shared" si="2"/>
        <v>0</v>
      </c>
    </row>
    <row r="8" spans="1:37" ht="19.2" x14ac:dyDescent="0.35">
      <c r="A8" s="59" t="s">
        <v>26</v>
      </c>
      <c r="B8" s="13">
        <v>5</v>
      </c>
      <c r="C8" s="60">
        <v>700000</v>
      </c>
      <c r="D8" s="14">
        <f t="shared" si="0"/>
        <v>3500000</v>
      </c>
      <c r="E8" s="73"/>
      <c r="F8" s="75"/>
      <c r="G8" s="86"/>
      <c r="H8" s="82"/>
      <c r="I8" s="89"/>
      <c r="J8" s="103"/>
      <c r="K8" s="103"/>
      <c r="L8" s="75"/>
      <c r="M8" s="111"/>
      <c r="N8" s="82"/>
      <c r="O8" s="111"/>
      <c r="P8" s="62"/>
      <c r="Q8" s="62"/>
      <c r="R8" s="62"/>
      <c r="S8" s="75"/>
      <c r="T8" s="62"/>
      <c r="U8" s="62"/>
      <c r="V8" s="61"/>
      <c r="W8" s="62"/>
      <c r="X8" s="63"/>
      <c r="Y8" s="12"/>
      <c r="Z8" s="75"/>
      <c r="AA8" s="12"/>
      <c r="AB8" s="12"/>
      <c r="AC8" s="12"/>
      <c r="AD8" s="12"/>
      <c r="AE8" s="12"/>
      <c r="AF8" s="12"/>
      <c r="AG8" s="75"/>
      <c r="AH8" s="12"/>
      <c r="AI8" s="12"/>
      <c r="AJ8" s="99">
        <f t="shared" si="1"/>
        <v>0</v>
      </c>
      <c r="AK8" s="95">
        <f t="shared" si="2"/>
        <v>0</v>
      </c>
    </row>
    <row r="9" spans="1:37" ht="19.2" x14ac:dyDescent="0.35">
      <c r="A9" s="59" t="s">
        <v>51</v>
      </c>
      <c r="B9" s="13">
        <v>1</v>
      </c>
      <c r="C9" s="60">
        <v>1000000</v>
      </c>
      <c r="D9" s="14">
        <f t="shared" si="0"/>
        <v>1000000</v>
      </c>
      <c r="E9" s="73"/>
      <c r="F9" s="75"/>
      <c r="G9" s="86"/>
      <c r="H9" s="82"/>
      <c r="I9" s="89"/>
      <c r="J9" s="103"/>
      <c r="K9" s="103"/>
      <c r="L9" s="75"/>
      <c r="M9" s="111"/>
      <c r="N9" s="82"/>
      <c r="O9" s="111"/>
      <c r="P9" s="62"/>
      <c r="Q9" s="62"/>
      <c r="R9" s="62"/>
      <c r="S9" s="75"/>
      <c r="T9" s="62"/>
      <c r="U9" s="62"/>
      <c r="V9" s="61"/>
      <c r="W9" s="62"/>
      <c r="X9" s="63"/>
      <c r="Y9" s="12"/>
      <c r="Z9" s="75"/>
      <c r="AA9" s="12"/>
      <c r="AB9" s="12"/>
      <c r="AC9" s="12"/>
      <c r="AD9" s="12"/>
      <c r="AE9" s="12"/>
      <c r="AF9" s="12"/>
      <c r="AG9" s="75"/>
      <c r="AH9" s="12"/>
      <c r="AI9" s="12"/>
      <c r="AJ9" s="99">
        <f t="shared" si="1"/>
        <v>0</v>
      </c>
      <c r="AK9" s="95">
        <f t="shared" si="2"/>
        <v>0</v>
      </c>
    </row>
    <row r="10" spans="1:37" ht="19.2" x14ac:dyDescent="0.35">
      <c r="A10" s="59" t="s">
        <v>56</v>
      </c>
      <c r="B10" s="13">
        <v>1</v>
      </c>
      <c r="C10" s="60">
        <v>1400000</v>
      </c>
      <c r="D10" s="14">
        <f t="shared" si="0"/>
        <v>1400000</v>
      </c>
      <c r="E10" s="73"/>
      <c r="F10" s="75"/>
      <c r="G10" s="86"/>
      <c r="H10" s="82"/>
      <c r="I10" s="89"/>
      <c r="J10" s="103"/>
      <c r="K10" s="103"/>
      <c r="L10" s="75"/>
      <c r="M10" s="111"/>
      <c r="N10" s="82"/>
      <c r="O10" s="111"/>
      <c r="P10" s="62"/>
      <c r="Q10" s="62"/>
      <c r="R10" s="62"/>
      <c r="S10" s="75"/>
      <c r="T10" s="62"/>
      <c r="U10" s="62"/>
      <c r="V10" s="61"/>
      <c r="W10" s="62"/>
      <c r="X10" s="63"/>
      <c r="Y10" s="12"/>
      <c r="Z10" s="75"/>
      <c r="AA10" s="12"/>
      <c r="AB10" s="12"/>
      <c r="AC10" s="12"/>
      <c r="AD10" s="12"/>
      <c r="AE10" s="12"/>
      <c r="AF10" s="12"/>
      <c r="AG10" s="75"/>
      <c r="AH10" s="12"/>
      <c r="AI10" s="12"/>
      <c r="AJ10" s="99">
        <f t="shared" si="1"/>
        <v>0</v>
      </c>
      <c r="AK10" s="95">
        <f t="shared" si="2"/>
        <v>0</v>
      </c>
    </row>
    <row r="11" spans="1:37" ht="19.2" x14ac:dyDescent="0.35">
      <c r="A11" s="59"/>
      <c r="B11" s="13"/>
      <c r="C11" s="60"/>
      <c r="D11" s="14"/>
      <c r="E11" s="73"/>
      <c r="F11" s="75"/>
      <c r="G11" s="86"/>
      <c r="H11" s="82"/>
      <c r="I11" s="89"/>
      <c r="J11" s="103"/>
      <c r="K11" s="103"/>
      <c r="L11" s="75"/>
      <c r="M11" s="111"/>
      <c r="N11" s="82"/>
      <c r="O11" s="111"/>
      <c r="P11" s="62"/>
      <c r="Q11" s="62"/>
      <c r="R11" s="62"/>
      <c r="S11" s="75"/>
      <c r="T11" s="62"/>
      <c r="U11" s="62"/>
      <c r="V11" s="61"/>
      <c r="W11" s="62"/>
      <c r="X11" s="63"/>
      <c r="Y11" s="12"/>
      <c r="Z11" s="75"/>
      <c r="AA11" s="12"/>
      <c r="AB11" s="12"/>
      <c r="AC11" s="12"/>
      <c r="AD11" s="12"/>
      <c r="AE11" s="12"/>
      <c r="AF11" s="12"/>
      <c r="AG11" s="75"/>
      <c r="AH11" s="12"/>
      <c r="AI11" s="12"/>
      <c r="AJ11" s="99">
        <f t="shared" si="1"/>
        <v>0</v>
      </c>
      <c r="AK11" s="95">
        <f t="shared" si="2"/>
        <v>0</v>
      </c>
    </row>
    <row r="12" spans="1:37" ht="19.2" x14ac:dyDescent="0.35">
      <c r="A12" s="64" t="s">
        <v>57</v>
      </c>
      <c r="B12" s="65"/>
      <c r="C12" s="66"/>
      <c r="D12" s="20">
        <f>SUM(D5:D11)</f>
        <v>17535000</v>
      </c>
      <c r="E12" s="73"/>
      <c r="F12" s="75"/>
      <c r="G12" s="86"/>
      <c r="H12" s="82"/>
      <c r="I12" s="89"/>
      <c r="J12" s="103"/>
      <c r="K12" s="103"/>
      <c r="L12" s="75"/>
      <c r="M12" s="111"/>
      <c r="N12" s="82"/>
      <c r="O12" s="111"/>
      <c r="P12" s="62"/>
      <c r="Q12" s="62"/>
      <c r="R12" s="62"/>
      <c r="S12" s="75"/>
      <c r="T12" s="62"/>
      <c r="U12" s="62"/>
      <c r="V12" s="61"/>
      <c r="W12" s="62"/>
      <c r="X12" s="63"/>
      <c r="Y12" s="12"/>
      <c r="Z12" s="75"/>
      <c r="AA12" s="12"/>
      <c r="AB12" s="12"/>
      <c r="AC12" s="12"/>
      <c r="AD12" s="12"/>
      <c r="AE12" s="12"/>
      <c r="AF12" s="12"/>
      <c r="AG12" s="75"/>
      <c r="AH12" s="12"/>
      <c r="AI12" s="12"/>
      <c r="AJ12" s="99">
        <f t="shared" si="1"/>
        <v>0</v>
      </c>
      <c r="AK12" s="95">
        <f t="shared" si="2"/>
        <v>0</v>
      </c>
    </row>
    <row r="13" spans="1:37" ht="19.2" x14ac:dyDescent="0.35">
      <c r="A13" s="59"/>
      <c r="B13" s="13"/>
      <c r="C13" s="60"/>
      <c r="D13" s="14"/>
      <c r="E13" s="73"/>
      <c r="F13" s="75"/>
      <c r="G13" s="86"/>
      <c r="H13" s="82"/>
      <c r="I13" s="89"/>
      <c r="J13" s="103"/>
      <c r="K13" s="103"/>
      <c r="L13" s="75"/>
      <c r="M13" s="111"/>
      <c r="N13" s="82"/>
      <c r="O13" s="111"/>
      <c r="P13" s="62"/>
      <c r="Q13" s="62"/>
      <c r="R13" s="62"/>
      <c r="S13" s="75"/>
      <c r="T13" s="62"/>
      <c r="U13" s="62"/>
      <c r="V13" s="61"/>
      <c r="W13" s="62"/>
      <c r="X13" s="63"/>
      <c r="Y13" s="12"/>
      <c r="Z13" s="75"/>
      <c r="AA13" s="12"/>
      <c r="AB13" s="12"/>
      <c r="AC13" s="12"/>
      <c r="AD13" s="12"/>
      <c r="AE13" s="12"/>
      <c r="AF13" s="12"/>
      <c r="AG13" s="75"/>
      <c r="AH13" s="12"/>
      <c r="AI13" s="12"/>
      <c r="AJ13" s="99">
        <f t="shared" si="1"/>
        <v>0</v>
      </c>
      <c r="AK13" s="95">
        <f t="shared" si="2"/>
        <v>0</v>
      </c>
    </row>
    <row r="14" spans="1:37" ht="19.2" x14ac:dyDescent="0.35">
      <c r="A14" s="59" t="s">
        <v>27</v>
      </c>
      <c r="B14" s="13">
        <v>10</v>
      </c>
      <c r="C14" s="60">
        <v>340000</v>
      </c>
      <c r="D14" s="14">
        <f t="shared" si="0"/>
        <v>3400000</v>
      </c>
      <c r="E14" s="73"/>
      <c r="F14" s="75"/>
      <c r="G14" s="86"/>
      <c r="H14" s="82">
        <v>1</v>
      </c>
      <c r="I14" s="89"/>
      <c r="J14" s="103"/>
      <c r="K14" s="103"/>
      <c r="L14" s="75"/>
      <c r="M14" s="111"/>
      <c r="N14" s="82"/>
      <c r="O14" s="111"/>
      <c r="P14" s="62"/>
      <c r="Q14" s="62"/>
      <c r="R14" s="62"/>
      <c r="S14" s="75"/>
      <c r="T14" s="62"/>
      <c r="U14" s="62"/>
      <c r="V14" s="61"/>
      <c r="W14" s="62"/>
      <c r="X14" s="63"/>
      <c r="Y14" s="12"/>
      <c r="Z14" s="75"/>
      <c r="AA14" s="12"/>
      <c r="AB14" s="12"/>
      <c r="AC14" s="12"/>
      <c r="AD14" s="12"/>
      <c r="AE14" s="12"/>
      <c r="AF14" s="12"/>
      <c r="AG14" s="75"/>
      <c r="AH14" s="12"/>
      <c r="AI14" s="12"/>
      <c r="AJ14" s="99">
        <f t="shared" si="1"/>
        <v>1</v>
      </c>
      <c r="AK14" s="95">
        <f t="shared" si="2"/>
        <v>340000</v>
      </c>
    </row>
    <row r="15" spans="1:37" ht="19.2" x14ac:dyDescent="0.35">
      <c r="A15" s="59" t="s">
        <v>28</v>
      </c>
      <c r="B15" s="13">
        <v>10</v>
      </c>
      <c r="C15" s="60">
        <v>450000</v>
      </c>
      <c r="D15" s="14">
        <f t="shared" si="0"/>
        <v>4500000</v>
      </c>
      <c r="E15" s="73"/>
      <c r="F15" s="75"/>
      <c r="G15" s="86"/>
      <c r="H15" s="82"/>
      <c r="I15" s="89"/>
      <c r="J15" s="103"/>
      <c r="K15" s="103"/>
      <c r="L15" s="75"/>
      <c r="M15" s="111"/>
      <c r="N15" s="82"/>
      <c r="O15" s="111"/>
      <c r="P15" s="62"/>
      <c r="Q15" s="62"/>
      <c r="R15" s="62"/>
      <c r="S15" s="75"/>
      <c r="T15" s="62"/>
      <c r="U15" s="62"/>
      <c r="V15" s="61"/>
      <c r="W15" s="62"/>
      <c r="X15" s="63"/>
      <c r="Y15" s="12"/>
      <c r="Z15" s="75"/>
      <c r="AA15" s="12"/>
      <c r="AB15" s="12"/>
      <c r="AC15" s="12"/>
      <c r="AD15" s="12"/>
      <c r="AE15" s="12"/>
      <c r="AF15" s="12"/>
      <c r="AG15" s="75"/>
      <c r="AH15" s="12"/>
      <c r="AI15" s="12"/>
      <c r="AJ15" s="99">
        <f t="shared" si="1"/>
        <v>0</v>
      </c>
      <c r="AK15" s="95">
        <f t="shared" si="2"/>
        <v>0</v>
      </c>
    </row>
    <row r="16" spans="1:37" ht="19.2" x14ac:dyDescent="0.35">
      <c r="A16" s="59" t="s">
        <v>29</v>
      </c>
      <c r="B16" s="13">
        <v>10</v>
      </c>
      <c r="C16" s="60">
        <v>500000</v>
      </c>
      <c r="D16" s="14">
        <f t="shared" si="0"/>
        <v>5000000</v>
      </c>
      <c r="E16" s="73"/>
      <c r="F16" s="75"/>
      <c r="G16" s="86"/>
      <c r="H16" s="82"/>
      <c r="I16" s="89"/>
      <c r="J16" s="103"/>
      <c r="K16" s="103"/>
      <c r="L16" s="75"/>
      <c r="M16" s="111"/>
      <c r="N16" s="82"/>
      <c r="O16" s="111"/>
      <c r="P16" s="62"/>
      <c r="Q16" s="62"/>
      <c r="R16" s="62"/>
      <c r="S16" s="75"/>
      <c r="T16" s="62"/>
      <c r="U16" s="62"/>
      <c r="V16" s="61"/>
      <c r="W16" s="62"/>
      <c r="X16" s="63"/>
      <c r="Y16" s="12"/>
      <c r="Z16" s="75"/>
      <c r="AA16" s="12"/>
      <c r="AB16" s="12"/>
      <c r="AC16" s="12"/>
      <c r="AD16" s="12"/>
      <c r="AE16" s="12"/>
      <c r="AF16" s="12"/>
      <c r="AG16" s="75"/>
      <c r="AH16" s="12"/>
      <c r="AI16" s="12"/>
      <c r="AJ16" s="99">
        <f t="shared" si="1"/>
        <v>0</v>
      </c>
      <c r="AK16" s="95">
        <f t="shared" si="2"/>
        <v>0</v>
      </c>
    </row>
    <row r="17" spans="1:37" ht="19.2" x14ac:dyDescent="0.35">
      <c r="A17" s="59"/>
      <c r="B17" s="13"/>
      <c r="C17" s="60"/>
      <c r="D17" s="14"/>
      <c r="E17" s="73"/>
      <c r="F17" s="75"/>
      <c r="G17" s="86"/>
      <c r="H17" s="82"/>
      <c r="I17" s="89"/>
      <c r="J17" s="103"/>
      <c r="K17" s="103"/>
      <c r="L17" s="75"/>
      <c r="M17" s="111"/>
      <c r="N17" s="82"/>
      <c r="O17" s="111"/>
      <c r="P17" s="62"/>
      <c r="Q17" s="62"/>
      <c r="R17" s="62"/>
      <c r="S17" s="75"/>
      <c r="T17" s="62"/>
      <c r="U17" s="62"/>
      <c r="V17" s="61"/>
      <c r="W17" s="62"/>
      <c r="X17" s="63"/>
      <c r="Y17" s="12"/>
      <c r="Z17" s="75"/>
      <c r="AA17" s="12"/>
      <c r="AB17" s="12"/>
      <c r="AC17" s="12"/>
      <c r="AD17" s="12"/>
      <c r="AE17" s="12"/>
      <c r="AF17" s="12"/>
      <c r="AG17" s="75"/>
      <c r="AH17" s="12"/>
      <c r="AI17" s="12"/>
      <c r="AJ17" s="99">
        <f t="shared" si="1"/>
        <v>0</v>
      </c>
      <c r="AK17" s="95">
        <f t="shared" si="2"/>
        <v>0</v>
      </c>
    </row>
    <row r="18" spans="1:37" ht="19.2" x14ac:dyDescent="0.35">
      <c r="A18" s="64" t="s">
        <v>57</v>
      </c>
      <c r="B18" s="65"/>
      <c r="C18" s="66"/>
      <c r="D18" s="20">
        <f>SUM(D14:D17)</f>
        <v>12900000</v>
      </c>
      <c r="E18" s="73"/>
      <c r="F18" s="75"/>
      <c r="G18" s="86"/>
      <c r="H18" s="82"/>
      <c r="I18" s="89"/>
      <c r="J18" s="103"/>
      <c r="K18" s="103"/>
      <c r="L18" s="75"/>
      <c r="M18" s="111"/>
      <c r="N18" s="82"/>
      <c r="O18" s="111"/>
      <c r="P18" s="62"/>
      <c r="Q18" s="62"/>
      <c r="R18" s="62"/>
      <c r="S18" s="75"/>
      <c r="T18" s="62"/>
      <c r="U18" s="62"/>
      <c r="V18" s="61"/>
      <c r="W18" s="62"/>
      <c r="X18" s="63"/>
      <c r="Y18" s="12"/>
      <c r="Z18" s="75"/>
      <c r="AA18" s="12"/>
      <c r="AB18" s="12"/>
      <c r="AC18" s="12"/>
      <c r="AD18" s="12"/>
      <c r="AE18" s="12"/>
      <c r="AF18" s="12"/>
      <c r="AG18" s="75"/>
      <c r="AH18" s="12"/>
      <c r="AI18" s="12"/>
      <c r="AJ18" s="99">
        <f t="shared" si="1"/>
        <v>0</v>
      </c>
      <c r="AK18" s="95">
        <f t="shared" si="2"/>
        <v>0</v>
      </c>
    </row>
    <row r="19" spans="1:37" ht="19.2" x14ac:dyDescent="0.35">
      <c r="A19" s="59"/>
      <c r="B19" s="13"/>
      <c r="C19" s="60"/>
      <c r="D19" s="14"/>
      <c r="E19" s="73"/>
      <c r="F19" s="75"/>
      <c r="G19" s="86"/>
      <c r="H19" s="82"/>
      <c r="I19" s="89"/>
      <c r="J19" s="103"/>
      <c r="K19" s="103"/>
      <c r="L19" s="75"/>
      <c r="M19" s="111"/>
      <c r="N19" s="82"/>
      <c r="O19" s="111"/>
      <c r="P19" s="62"/>
      <c r="Q19" s="62"/>
      <c r="R19" s="62"/>
      <c r="S19" s="75"/>
      <c r="T19" s="62"/>
      <c r="U19" s="62"/>
      <c r="V19" s="61"/>
      <c r="W19" s="62"/>
      <c r="X19" s="63"/>
      <c r="Y19" s="12"/>
      <c r="Z19" s="75"/>
      <c r="AA19" s="12"/>
      <c r="AB19" s="12"/>
      <c r="AC19" s="12"/>
      <c r="AD19" s="12"/>
      <c r="AE19" s="12"/>
      <c r="AF19" s="12"/>
      <c r="AG19" s="75"/>
      <c r="AH19" s="12"/>
      <c r="AI19" s="12"/>
      <c r="AJ19" s="99">
        <f t="shared" si="1"/>
        <v>0</v>
      </c>
      <c r="AK19" s="95">
        <f t="shared" si="2"/>
        <v>0</v>
      </c>
    </row>
    <row r="20" spans="1:37" ht="19.2" x14ac:dyDescent="0.35">
      <c r="A20" s="59" t="s">
        <v>30</v>
      </c>
      <c r="B20" s="13">
        <v>10</v>
      </c>
      <c r="C20" s="60">
        <v>700000</v>
      </c>
      <c r="D20" s="14">
        <f t="shared" si="0"/>
        <v>7000000</v>
      </c>
      <c r="E20" s="73"/>
      <c r="F20" s="75"/>
      <c r="G20" s="86"/>
      <c r="H20" s="82">
        <v>1</v>
      </c>
      <c r="I20" s="89"/>
      <c r="J20" s="103"/>
      <c r="K20" s="103"/>
      <c r="L20" s="75"/>
      <c r="M20" s="111"/>
      <c r="N20" s="82"/>
      <c r="O20" s="111"/>
      <c r="P20" s="62"/>
      <c r="Q20" s="62"/>
      <c r="R20" s="62"/>
      <c r="S20" s="75"/>
      <c r="T20" s="62"/>
      <c r="U20" s="62"/>
      <c r="V20" s="61"/>
      <c r="W20" s="62"/>
      <c r="X20" s="63"/>
      <c r="Y20" s="12"/>
      <c r="Z20" s="75"/>
      <c r="AA20" s="12"/>
      <c r="AB20" s="12"/>
      <c r="AC20" s="12"/>
      <c r="AD20" s="12"/>
      <c r="AE20" s="12"/>
      <c r="AF20" s="12"/>
      <c r="AG20" s="75"/>
      <c r="AH20" s="12"/>
      <c r="AI20" s="12"/>
      <c r="AJ20" s="99">
        <f t="shared" si="1"/>
        <v>1</v>
      </c>
      <c r="AK20" s="95">
        <f t="shared" si="2"/>
        <v>700000</v>
      </c>
    </row>
    <row r="21" spans="1:37" ht="19.2" x14ac:dyDescent="0.35">
      <c r="A21" s="59" t="s">
        <v>31</v>
      </c>
      <c r="B21" s="13">
        <v>5</v>
      </c>
      <c r="C21" s="60">
        <v>800000</v>
      </c>
      <c r="D21" s="14">
        <f t="shared" si="0"/>
        <v>4000000</v>
      </c>
      <c r="E21" s="73"/>
      <c r="F21" s="75"/>
      <c r="G21" s="86"/>
      <c r="H21" s="82"/>
      <c r="I21" s="89"/>
      <c r="J21" s="103"/>
      <c r="K21" s="103"/>
      <c r="L21" s="75"/>
      <c r="M21" s="111"/>
      <c r="N21" s="82"/>
      <c r="O21" s="111"/>
      <c r="P21" s="62"/>
      <c r="Q21" s="62"/>
      <c r="R21" s="62"/>
      <c r="S21" s="75"/>
      <c r="T21" s="62"/>
      <c r="U21" s="62"/>
      <c r="V21" s="61"/>
      <c r="W21" s="62"/>
      <c r="X21" s="63"/>
      <c r="Y21" s="12"/>
      <c r="Z21" s="75"/>
      <c r="AA21" s="12"/>
      <c r="AB21" s="12"/>
      <c r="AC21" s="12"/>
      <c r="AD21" s="12"/>
      <c r="AE21" s="12"/>
      <c r="AF21" s="12"/>
      <c r="AG21" s="75"/>
      <c r="AH21" s="12"/>
      <c r="AI21" s="12"/>
      <c r="AJ21" s="99">
        <f t="shared" si="1"/>
        <v>0</v>
      </c>
      <c r="AK21" s="95">
        <f t="shared" si="2"/>
        <v>0</v>
      </c>
    </row>
    <row r="22" spans="1:37" ht="19.2" x14ac:dyDescent="0.35">
      <c r="A22" s="59" t="s">
        <v>32</v>
      </c>
      <c r="B22" s="13">
        <v>3</v>
      </c>
      <c r="C22" s="60">
        <v>1550000</v>
      </c>
      <c r="D22" s="14">
        <f t="shared" si="0"/>
        <v>4650000</v>
      </c>
      <c r="E22" s="73"/>
      <c r="F22" s="75"/>
      <c r="G22" s="86"/>
      <c r="H22" s="82"/>
      <c r="I22" s="89"/>
      <c r="J22" s="103"/>
      <c r="K22" s="103"/>
      <c r="L22" s="75"/>
      <c r="M22" s="111"/>
      <c r="N22" s="82"/>
      <c r="O22" s="111"/>
      <c r="P22" s="62"/>
      <c r="Q22" s="62"/>
      <c r="R22" s="62"/>
      <c r="S22" s="75"/>
      <c r="T22" s="62"/>
      <c r="U22" s="62"/>
      <c r="V22" s="61"/>
      <c r="W22" s="62"/>
      <c r="X22" s="63"/>
      <c r="Y22" s="12"/>
      <c r="Z22" s="75"/>
      <c r="AA22" s="12"/>
      <c r="AB22" s="12"/>
      <c r="AC22" s="12"/>
      <c r="AD22" s="12"/>
      <c r="AE22" s="12"/>
      <c r="AF22" s="12"/>
      <c r="AG22" s="75"/>
      <c r="AH22" s="12"/>
      <c r="AI22" s="12"/>
      <c r="AJ22" s="99">
        <f t="shared" si="1"/>
        <v>0</v>
      </c>
      <c r="AK22" s="95">
        <f t="shared" si="2"/>
        <v>0</v>
      </c>
    </row>
    <row r="23" spans="1:37" ht="19.2" x14ac:dyDescent="0.35">
      <c r="A23" s="59" t="s">
        <v>33</v>
      </c>
      <c r="B23" s="13">
        <v>3</v>
      </c>
      <c r="C23" s="60">
        <v>1700000</v>
      </c>
      <c r="D23" s="14">
        <f t="shared" si="0"/>
        <v>5100000</v>
      </c>
      <c r="E23" s="73"/>
      <c r="F23" s="75"/>
      <c r="G23" s="86"/>
      <c r="H23" s="82"/>
      <c r="I23" s="89"/>
      <c r="J23" s="103"/>
      <c r="K23" s="103"/>
      <c r="L23" s="75"/>
      <c r="M23" s="111">
        <v>1</v>
      </c>
      <c r="N23" s="82"/>
      <c r="O23" s="111">
        <v>1</v>
      </c>
      <c r="P23" s="62"/>
      <c r="Q23" s="62"/>
      <c r="R23" s="62"/>
      <c r="S23" s="75"/>
      <c r="T23" s="62"/>
      <c r="U23" s="62"/>
      <c r="V23" s="61"/>
      <c r="W23" s="62"/>
      <c r="X23" s="63"/>
      <c r="Y23" s="12"/>
      <c r="Z23" s="75"/>
      <c r="AA23" s="12"/>
      <c r="AB23" s="12"/>
      <c r="AC23" s="12"/>
      <c r="AD23" s="12"/>
      <c r="AE23" s="12"/>
      <c r="AF23" s="12"/>
      <c r="AG23" s="75"/>
      <c r="AH23" s="12"/>
      <c r="AI23" s="12"/>
      <c r="AJ23" s="99">
        <f t="shared" si="1"/>
        <v>2</v>
      </c>
      <c r="AK23" s="95">
        <f t="shared" si="2"/>
        <v>3400000</v>
      </c>
    </row>
    <row r="24" spans="1:37" ht="19.2" x14ac:dyDescent="0.35">
      <c r="A24" s="59"/>
      <c r="B24" s="13"/>
      <c r="C24" s="60"/>
      <c r="D24" s="14"/>
      <c r="E24" s="73"/>
      <c r="F24" s="75"/>
      <c r="G24" s="86"/>
      <c r="H24" s="82"/>
      <c r="I24" s="89"/>
      <c r="J24" s="103"/>
      <c r="K24" s="103"/>
      <c r="L24" s="75"/>
      <c r="M24" s="111"/>
      <c r="N24" s="82"/>
      <c r="O24" s="111"/>
      <c r="P24" s="62"/>
      <c r="Q24" s="62"/>
      <c r="R24" s="62"/>
      <c r="S24" s="75"/>
      <c r="T24" s="62"/>
      <c r="U24" s="62"/>
      <c r="V24" s="61"/>
      <c r="W24" s="62"/>
      <c r="X24" s="63"/>
      <c r="Y24" s="12"/>
      <c r="Z24" s="75"/>
      <c r="AA24" s="12"/>
      <c r="AB24" s="12"/>
      <c r="AC24" s="12"/>
      <c r="AD24" s="12"/>
      <c r="AE24" s="12"/>
      <c r="AF24" s="12"/>
      <c r="AG24" s="75"/>
      <c r="AH24" s="12"/>
      <c r="AI24" s="12"/>
      <c r="AJ24" s="99">
        <f t="shared" si="1"/>
        <v>0</v>
      </c>
      <c r="AK24" s="95">
        <f t="shared" si="2"/>
        <v>0</v>
      </c>
    </row>
    <row r="25" spans="1:37" ht="19.2" x14ac:dyDescent="0.35">
      <c r="A25" s="64" t="s">
        <v>57</v>
      </c>
      <c r="B25" s="65"/>
      <c r="C25" s="66"/>
      <c r="D25" s="20">
        <f>SUM(D20:D24)</f>
        <v>20750000</v>
      </c>
      <c r="E25" s="73"/>
      <c r="F25" s="75"/>
      <c r="G25" s="86"/>
      <c r="H25" s="82"/>
      <c r="I25" s="89"/>
      <c r="J25" s="103"/>
      <c r="K25" s="103"/>
      <c r="L25" s="75"/>
      <c r="M25" s="111"/>
      <c r="N25" s="82"/>
      <c r="O25" s="111"/>
      <c r="P25" s="62"/>
      <c r="Q25" s="62"/>
      <c r="R25" s="62"/>
      <c r="S25" s="75"/>
      <c r="T25" s="62"/>
      <c r="U25" s="62"/>
      <c r="V25" s="61"/>
      <c r="W25" s="62"/>
      <c r="X25" s="63"/>
      <c r="Y25" s="12"/>
      <c r="Z25" s="75"/>
      <c r="AA25" s="12"/>
      <c r="AB25" s="12"/>
      <c r="AC25" s="12"/>
      <c r="AD25" s="12"/>
      <c r="AE25" s="12"/>
      <c r="AF25" s="12"/>
      <c r="AG25" s="75"/>
      <c r="AH25" s="12"/>
      <c r="AI25" s="12"/>
      <c r="AJ25" s="99">
        <f t="shared" si="1"/>
        <v>0</v>
      </c>
      <c r="AK25" s="95">
        <f t="shared" si="2"/>
        <v>0</v>
      </c>
    </row>
    <row r="26" spans="1:37" ht="19.2" x14ac:dyDescent="0.35">
      <c r="A26" s="59"/>
      <c r="B26" s="13"/>
      <c r="C26" s="60"/>
      <c r="D26" s="14"/>
      <c r="E26" s="73"/>
      <c r="F26" s="75"/>
      <c r="G26" s="86"/>
      <c r="H26" s="82"/>
      <c r="I26" s="89"/>
      <c r="J26" s="103"/>
      <c r="K26" s="103"/>
      <c r="L26" s="75"/>
      <c r="M26" s="111"/>
      <c r="N26" s="82"/>
      <c r="O26" s="111"/>
      <c r="P26" s="62"/>
      <c r="Q26" s="62"/>
      <c r="R26" s="62"/>
      <c r="S26" s="75"/>
      <c r="T26" s="62"/>
      <c r="U26" s="62"/>
      <c r="V26" s="61"/>
      <c r="W26" s="62"/>
      <c r="X26" s="63"/>
      <c r="Y26" s="12"/>
      <c r="Z26" s="75"/>
      <c r="AA26" s="12"/>
      <c r="AB26" s="12"/>
      <c r="AC26" s="12"/>
      <c r="AD26" s="12"/>
      <c r="AE26" s="12"/>
      <c r="AF26" s="12"/>
      <c r="AG26" s="75"/>
      <c r="AH26" s="12"/>
      <c r="AI26" s="12"/>
      <c r="AJ26" s="99">
        <f t="shared" si="1"/>
        <v>0</v>
      </c>
      <c r="AK26" s="95">
        <f t="shared" si="2"/>
        <v>0</v>
      </c>
    </row>
    <row r="27" spans="1:37" ht="19.2" x14ac:dyDescent="0.35">
      <c r="A27" s="59" t="s">
        <v>34</v>
      </c>
      <c r="B27" s="13">
        <v>50</v>
      </c>
      <c r="C27" s="60">
        <v>230000</v>
      </c>
      <c r="D27" s="14">
        <f t="shared" si="0"/>
        <v>11500000</v>
      </c>
      <c r="E27" s="73"/>
      <c r="F27" s="75"/>
      <c r="G27" s="86"/>
      <c r="H27" s="82"/>
      <c r="I27" s="89"/>
      <c r="J27" s="103"/>
      <c r="K27" s="103"/>
      <c r="L27" s="75"/>
      <c r="M27" s="111"/>
      <c r="N27" s="82"/>
      <c r="O27" s="111"/>
      <c r="P27" s="62"/>
      <c r="Q27" s="62"/>
      <c r="R27" s="62"/>
      <c r="S27" s="75"/>
      <c r="T27" s="62"/>
      <c r="U27" s="62"/>
      <c r="V27" s="61"/>
      <c r="W27" s="62"/>
      <c r="X27" s="63"/>
      <c r="Y27" s="12"/>
      <c r="Z27" s="75"/>
      <c r="AA27" s="12"/>
      <c r="AB27" s="12"/>
      <c r="AC27" s="12"/>
      <c r="AD27" s="12"/>
      <c r="AE27" s="12"/>
      <c r="AF27" s="12"/>
      <c r="AG27" s="75"/>
      <c r="AH27" s="12"/>
      <c r="AI27" s="12"/>
      <c r="AJ27" s="99">
        <f t="shared" si="1"/>
        <v>0</v>
      </c>
      <c r="AK27" s="95">
        <f t="shared" si="2"/>
        <v>0</v>
      </c>
    </row>
    <row r="28" spans="1:37" ht="19.2" x14ac:dyDescent="0.35">
      <c r="A28" s="59"/>
      <c r="B28" s="12"/>
      <c r="C28" s="12"/>
      <c r="D28" s="12"/>
      <c r="E28" s="73"/>
      <c r="F28" s="75"/>
      <c r="G28" s="86"/>
      <c r="H28" s="82"/>
      <c r="I28" s="89"/>
      <c r="J28" s="103"/>
      <c r="K28" s="103"/>
      <c r="L28" s="75"/>
      <c r="M28" s="111"/>
      <c r="N28" s="82"/>
      <c r="O28" s="111"/>
      <c r="P28" s="62"/>
      <c r="Q28" s="62"/>
      <c r="R28" s="62"/>
      <c r="S28" s="75"/>
      <c r="T28" s="62"/>
      <c r="U28" s="62"/>
      <c r="V28" s="61"/>
      <c r="W28" s="62"/>
      <c r="X28" s="62"/>
      <c r="Y28" s="12"/>
      <c r="Z28" s="75"/>
      <c r="AA28" s="12"/>
      <c r="AB28" s="12"/>
      <c r="AC28" s="12"/>
      <c r="AD28" s="12"/>
      <c r="AE28" s="12"/>
      <c r="AF28" s="12"/>
      <c r="AG28" s="75"/>
      <c r="AH28" s="12"/>
      <c r="AI28" s="12"/>
      <c r="AJ28" s="99">
        <f t="shared" si="1"/>
        <v>0</v>
      </c>
      <c r="AK28" s="95">
        <f t="shared" si="2"/>
        <v>0</v>
      </c>
    </row>
    <row r="29" spans="1:37" ht="19.2" x14ac:dyDescent="0.35">
      <c r="A29" s="64" t="s">
        <v>57</v>
      </c>
      <c r="B29" s="23"/>
      <c r="C29" s="23"/>
      <c r="D29" s="20">
        <f>SUM(D27:D28)</f>
        <v>11500000</v>
      </c>
      <c r="E29" s="73"/>
      <c r="F29" s="75"/>
      <c r="G29" s="86"/>
      <c r="H29" s="82"/>
      <c r="I29" s="89"/>
      <c r="J29" s="103"/>
      <c r="K29" s="103"/>
      <c r="L29" s="75"/>
      <c r="M29" s="111"/>
      <c r="N29" s="82"/>
      <c r="O29" s="111"/>
      <c r="P29" s="62"/>
      <c r="Q29" s="62"/>
      <c r="R29" s="62"/>
      <c r="S29" s="75"/>
      <c r="T29" s="62"/>
      <c r="U29" s="62"/>
      <c r="V29" s="61"/>
      <c r="W29" s="62"/>
      <c r="X29" s="63"/>
      <c r="Y29" s="12"/>
      <c r="Z29" s="75"/>
      <c r="AA29" s="12"/>
      <c r="AB29" s="12"/>
      <c r="AC29" s="12"/>
      <c r="AD29" s="12"/>
      <c r="AE29" s="12"/>
      <c r="AF29" s="12"/>
      <c r="AG29" s="75"/>
      <c r="AH29" s="12"/>
      <c r="AI29" s="12"/>
      <c r="AJ29" s="99">
        <f t="shared" si="1"/>
        <v>0</v>
      </c>
      <c r="AK29" s="95">
        <f t="shared" si="2"/>
        <v>0</v>
      </c>
    </row>
    <row r="30" spans="1:37" ht="30.6" customHeight="1" thickBot="1" x14ac:dyDescent="0.4">
      <c r="A30" s="67" t="s">
        <v>35</v>
      </c>
      <c r="B30" s="68"/>
      <c r="C30" s="68"/>
      <c r="D30" s="69">
        <f>D29+D25+D18+D12</f>
        <v>62685000</v>
      </c>
      <c r="E30" s="74"/>
      <c r="F30" s="76"/>
      <c r="G30" s="87">
        <f>SUM(G4:G29)</f>
        <v>0</v>
      </c>
      <c r="H30" s="83">
        <f>SUM(H4:H29)</f>
        <v>2</v>
      </c>
      <c r="I30" s="87">
        <f>SUM(I4:I29)</f>
        <v>0</v>
      </c>
      <c r="J30" s="87">
        <f>SUM(J4:J29)</f>
        <v>0</v>
      </c>
      <c r="K30" s="87">
        <f>SUM(K4:K29)</f>
        <v>0</v>
      </c>
      <c r="L30" s="76"/>
      <c r="M30" s="83">
        <f>SUM(M5:M29)</f>
        <v>1</v>
      </c>
      <c r="N30" s="83">
        <f>SUM(N5:N29)</f>
        <v>1</v>
      </c>
      <c r="O30" s="112">
        <f>SUM(O5:O29)</f>
        <v>1</v>
      </c>
      <c r="P30" s="70"/>
      <c r="Q30" s="70"/>
      <c r="R30" s="70"/>
      <c r="S30" s="76"/>
      <c r="T30" s="70"/>
      <c r="U30" s="70"/>
      <c r="V30" s="70"/>
      <c r="W30" s="70"/>
      <c r="X30" s="70"/>
      <c r="Y30" s="70"/>
      <c r="Z30" s="76"/>
      <c r="AA30" s="70"/>
      <c r="AB30" s="70"/>
      <c r="AC30" s="70"/>
      <c r="AD30" s="70"/>
      <c r="AE30" s="70"/>
      <c r="AF30" s="70"/>
      <c r="AG30" s="76"/>
      <c r="AH30" s="70"/>
      <c r="AI30" s="70"/>
      <c r="AJ30" s="100">
        <f t="shared" si="1"/>
        <v>5</v>
      </c>
      <c r="AK30" s="96">
        <f>SUM(AK4:AK29)</f>
        <v>4610000</v>
      </c>
    </row>
    <row r="31" spans="1:37" ht="40.200000000000003" customHeight="1" x14ac:dyDescent="0.35">
      <c r="D31" s="71"/>
    </row>
  </sheetData>
  <mergeCells count="1">
    <mergeCell ref="A1:AI1"/>
  </mergeCells>
  <pageMargins left="0.7" right="0.7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Afriipower ...</dc:creator>
  <cp:lastModifiedBy>Afriipower ...</cp:lastModifiedBy>
  <cp:lastPrinted>2026-03-04T16:06:31Z</cp:lastPrinted>
  <dcterms:created xsi:type="dcterms:W3CDTF">2026-03-03T12:23:21Z</dcterms:created>
  <dcterms:modified xsi:type="dcterms:W3CDTF">2026-03-11T16:01:04Z</dcterms:modified>
</cp:coreProperties>
</file>